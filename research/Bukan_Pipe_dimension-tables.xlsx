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G C\Desktop\"/>
    </mc:Choice>
  </mc:AlternateContent>
  <bookViews>
    <workbookView xWindow="-120" yWindow="-120" windowWidth="25440" windowHeight="15270"/>
  </bookViews>
  <sheets>
    <sheet name="HD" sheetId="1" r:id="rId1"/>
    <sheet name="گاز igs" sheetId="2" r:id="rId2"/>
    <sheet name="LD" sheetId="3" r:id="rId3"/>
  </sheets>
  <externalReferences>
    <externalReference r:id="rId4"/>
  </externalReferences>
  <definedNames>
    <definedName name="_xlnm.Print_Area" localSheetId="0">HD!$B$2:$M$34</definedName>
    <definedName name="_xlnm.Print_Area" localSheetId="1">'گاز igs'!$B$2:$I$13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C4" i="1"/>
  <c r="B5" i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E34" i="1"/>
  <c r="G34" i="1"/>
  <c r="J34" i="1"/>
</calcChain>
</file>

<file path=xl/sharedStrings.xml><?xml version="1.0" encoding="utf-8"?>
<sst xmlns="http://schemas.openxmlformats.org/spreadsheetml/2006/main" count="136" uniqueCount="66">
  <si>
    <t>-</t>
  </si>
  <si>
    <r>
      <t xml:space="preserve">en  </t>
    </r>
    <r>
      <rPr>
        <sz val="6"/>
        <color rgb="FF0E1F68"/>
        <rFont val="B Koodak"/>
        <charset val="178"/>
      </rPr>
      <t xml:space="preserve"> ( mm )</t>
    </r>
  </si>
  <si>
    <t>5-12</t>
  </si>
  <si>
    <t>شاخه 12 متری</t>
  </si>
  <si>
    <t>(1.8+)16.6</t>
  </si>
  <si>
    <t>(1.6+)14.7</t>
  </si>
  <si>
    <t>5-10</t>
  </si>
  <si>
    <t>(1.3+)11.8</t>
  </si>
  <si>
    <t>(1.1+)9.2</t>
  </si>
  <si>
    <t>شاخه 12 متری/کلاف 50 متری</t>
  </si>
  <si>
    <t>(1.1+)8.1</t>
  </si>
  <si>
    <t>کلاف 50 متری</t>
  </si>
  <si>
    <t>(1.0+)8.2</t>
  </si>
  <si>
    <t>(0.8+)6.7</t>
  </si>
  <si>
    <t>3-5</t>
  </si>
  <si>
    <t>کلاف 100 متری</t>
  </si>
  <si>
    <t>(0.7+)5.8</t>
  </si>
  <si>
    <t>(0.6+)4.7</t>
  </si>
  <si>
    <t>(0.4+)3</t>
  </si>
  <si>
    <t>حداکثر 10% ضخامت جداره</t>
  </si>
  <si>
    <t>2-3</t>
  </si>
  <si>
    <t>عمق</t>
  </si>
  <si>
    <t>عرض نوار</t>
  </si>
  <si>
    <t>Packing length (meter)</t>
  </si>
  <si>
    <t>SDR 11</t>
  </si>
  <si>
    <t>SDR13.6</t>
  </si>
  <si>
    <t xml:space="preserve"> (برای شاخه)</t>
  </si>
  <si>
    <t xml:space="preserve"> متوسط خارجی </t>
  </si>
  <si>
    <t>(mm)</t>
  </si>
  <si>
    <r>
      <rPr>
        <sz val="11"/>
        <rFont val="B Nazanin"/>
        <charset val="178"/>
      </rPr>
      <t xml:space="preserve"> (mm) </t>
    </r>
    <r>
      <rPr>
        <b/>
        <sz val="11"/>
        <rFont val="B Nazanin"/>
        <charset val="178"/>
      </rPr>
      <t xml:space="preserve">ابعاد نوار 
</t>
    </r>
    <r>
      <rPr>
        <sz val="11"/>
        <rFont val="B Nazanin"/>
        <charset val="178"/>
      </rPr>
      <t>Dimension of yellow strip
(milimeters)</t>
    </r>
  </si>
  <si>
    <r>
      <t xml:space="preserve">طول لوله ( </t>
    </r>
    <r>
      <rPr>
        <sz val="12"/>
        <rFont val="B Nazanin"/>
        <charset val="178"/>
      </rPr>
      <t>m</t>
    </r>
    <r>
      <rPr>
        <b/>
        <sz val="12"/>
        <rFont val="B Nazanin"/>
        <charset val="178"/>
      </rPr>
      <t xml:space="preserve"> )</t>
    </r>
  </si>
  <si>
    <r>
      <t>حداقل ضخامت  دیواره</t>
    </r>
    <r>
      <rPr>
        <sz val="12"/>
        <rFont val="B Nazanin"/>
        <charset val="178"/>
      </rPr>
      <t>(mm)</t>
    </r>
  </si>
  <si>
    <t>حداکثر دوپهنی</t>
  </si>
  <si>
    <t>حداکثرقطر</t>
  </si>
  <si>
    <t>سایز اسمی</t>
  </si>
  <si>
    <t>مشخصات لوله های گازرسانی تولیدی شرکت  لوله پلی اتیلن بوکان بر اساس استاندارد
(04) ISO4437 / IGS-M-PL-014-1</t>
  </si>
  <si>
    <t>PE PIPE for Irrigation according to INSO7607 / ISO 8779</t>
  </si>
  <si>
    <t>SDR 9</t>
  </si>
  <si>
    <t>SDR 13,6</t>
  </si>
  <si>
    <t>SDR 17</t>
  </si>
  <si>
    <t>SDR 21</t>
  </si>
  <si>
    <t>SDR 26</t>
  </si>
  <si>
    <t xml:space="preserve">               Nominal pressure, (PN)  bar</t>
  </si>
  <si>
    <t>PE 32</t>
  </si>
  <si>
    <t>PN 6</t>
  </si>
  <si>
    <t>PN 4</t>
  </si>
  <si>
    <t>PN 2.5</t>
  </si>
  <si>
    <t>PE 40</t>
  </si>
  <si>
    <t>PN 8</t>
  </si>
  <si>
    <t>Nominal Size</t>
  </si>
  <si>
    <t>Wall thicknesses(mm)</t>
  </si>
  <si>
    <r>
      <t xml:space="preserve">e </t>
    </r>
    <r>
      <rPr>
        <i/>
        <vertAlign val="subscript"/>
        <sz val="9"/>
        <color theme="1"/>
        <rFont val="Arial"/>
        <family val="2"/>
        <scheme val="minor"/>
      </rPr>
      <t>min</t>
    </r>
  </si>
  <si>
    <r>
      <t xml:space="preserve">e </t>
    </r>
    <r>
      <rPr>
        <i/>
        <vertAlign val="subscript"/>
        <sz val="9"/>
        <color theme="1"/>
        <rFont val="Arial"/>
        <family val="2"/>
        <scheme val="minor"/>
      </rPr>
      <t>max</t>
    </r>
  </si>
  <si>
    <t>1,4</t>
  </si>
  <si>
    <t>1,7</t>
  </si>
  <si>
    <t>1,1</t>
  </si>
  <si>
    <t>—</t>
  </si>
  <si>
    <t>1,8</t>
  </si>
  <si>
    <t>2,1</t>
  </si>
  <si>
    <t>1,5</t>
  </si>
  <si>
    <t>1,2</t>
  </si>
  <si>
    <t>1,0</t>
  </si>
  <si>
    <t>1,3</t>
  </si>
  <si>
    <t>2,3</t>
  </si>
  <si>
    <t>2,7</t>
  </si>
  <si>
    <t>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</si>
</sst>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Arial"/>
      <family val="2"/>
      <charset val="178"/>
      <scheme val="minor"/>
    </font>
    <font>
      <sz val="8"/>
      <color theme="1"/>
      <name val="Arial"/>
      <family val="2"/>
    </font>
    <font>
      <b/>
      <sz val="8"/>
      <color theme="1"/>
      <name val="B Nazanin"/>
      <charset val="178"/>
    </font>
    <font>
      <b/>
      <sz val="11"/>
      <color rgb="FF0E1F68"/>
      <name val="Arial"/>
      <family val="2"/>
      <scheme val="minor"/>
    </font>
    <font>
      <sz val="12"/>
      <color rgb="FF0E1F68"/>
      <name val="Arial"/>
      <family val="2"/>
      <scheme val="minor"/>
    </font>
    <font>
      <sz val="9"/>
      <color rgb="FF0E1F68"/>
      <name val="B Koodak"/>
      <charset val="178"/>
    </font>
    <font>
      <sz val="6"/>
      <color rgb="FF0E1F68"/>
      <name val="B Koodak"/>
      <charset val="178"/>
    </font>
    <font>
      <sz val="11"/>
      <color rgb="FF0E1F68"/>
      <name val="Tahoma"/>
      <family val="2"/>
    </font>
    <font>
      <b/>
      <sz val="14"/>
      <color theme="0"/>
      <name val="B Nazanin"/>
      <charset val="178"/>
    </font>
    <font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Segoe UI Light"/>
      <family val="2"/>
    </font>
    <font>
      <sz val="18"/>
      <color rgb="FFFFFFFF"/>
      <name val="B Yekan"/>
      <charset val="178"/>
    </font>
    <font>
      <sz val="20"/>
      <color rgb="FFFFFFFF"/>
      <name val="Segoe UI Light"/>
      <family val="2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0"/>
      <name val="B Nazanin"/>
      <charset val="178"/>
    </font>
    <font>
      <sz val="11"/>
      <color theme="0"/>
      <name val="B Nazanin"/>
      <charset val="178"/>
    </font>
    <font>
      <b/>
      <sz val="11"/>
      <name val="B Nazanin"/>
      <charset val="178"/>
    </font>
    <font>
      <sz val="1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20"/>
      <color rgb="FFFFFFFF"/>
      <name val="B Nazanin"/>
      <charset val="178"/>
    </font>
    <font>
      <b/>
      <sz val="11"/>
      <name val="Arial"/>
      <family val="2"/>
      <scheme val="minor"/>
    </font>
    <font>
      <sz val="16"/>
      <color rgb="FFFFFFFF"/>
      <name val="Arial"/>
      <family val="2"/>
      <scheme val="minor"/>
    </font>
    <font>
      <sz val="12"/>
      <color rgb="FFFFFFFF"/>
      <name val="Arial"/>
      <family val="2"/>
      <scheme val="minor"/>
    </font>
    <font>
      <sz val="11"/>
      <color rgb="FF404040"/>
      <name val="Arial"/>
      <family val="2"/>
      <scheme val="minor"/>
    </font>
    <font>
      <sz val="11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i/>
      <vertAlign val="subscript"/>
      <sz val="9"/>
      <color theme="1"/>
      <name val="Arial"/>
      <family val="2"/>
      <scheme val="minor"/>
    </font>
    <font>
      <sz val="9"/>
      <color rgb="FF262626"/>
      <name val="Arial"/>
      <family val="2"/>
      <scheme val="minor"/>
    </font>
    <font>
      <sz val="8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DDF8"/>
        <bgColor indexed="64"/>
      </patternFill>
    </fill>
    <fill>
      <patternFill patternType="solid">
        <fgColor rgb="FFADC5E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7EA3D0"/>
        <bgColor indexed="64"/>
      </patternFill>
    </fill>
    <fill>
      <patternFill patternType="solid">
        <fgColor rgb="FF4E81BE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2D69AA"/>
        <bgColor indexed="64"/>
      </patternFill>
    </fill>
    <fill>
      <patternFill patternType="solid">
        <fgColor rgb="FF255793"/>
        <bgColor indexed="64"/>
      </patternFill>
    </fill>
    <fill>
      <patternFill patternType="solid">
        <fgColor rgb="FFCCDAEC"/>
        <bgColor indexed="64"/>
      </patternFill>
    </fill>
    <fill>
      <patternFill patternType="solid">
        <fgColor rgb="FF220393"/>
        <bgColor indexed="64"/>
      </patternFill>
    </fill>
    <fill>
      <patternFill patternType="solid">
        <fgColor rgb="FF2A138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7A9D3"/>
        <bgColor indexed="64"/>
      </patternFill>
    </fill>
    <fill>
      <patternFill patternType="solid">
        <fgColor rgb="FF608DC4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hair">
        <color theme="4" tint="0.79998168889431442"/>
      </top>
      <bottom style="thin">
        <color rgb="FF003366"/>
      </bottom>
      <diagonal/>
    </border>
    <border>
      <left style="thin">
        <color rgb="FF003366"/>
      </left>
      <right style="thin">
        <color theme="1" tint="0.499984740745262"/>
      </right>
      <top style="hair">
        <color theme="4" tint="0.79998168889431442"/>
      </top>
      <bottom style="thin">
        <color rgb="FF003366"/>
      </bottom>
      <diagonal/>
    </border>
    <border>
      <left/>
      <right style="thin">
        <color theme="0" tint="-4.9989318521683403E-2"/>
      </right>
      <top/>
      <bottom style="thin">
        <color rgb="FF003366"/>
      </bottom>
      <diagonal/>
    </border>
    <border>
      <left style="thin">
        <color rgb="FF003366"/>
      </left>
      <right style="thin">
        <color theme="0" tint="-4.9989318521683403E-2"/>
      </right>
      <top style="hair">
        <color theme="4" tint="0.79998168889431442"/>
      </top>
      <bottom style="thin">
        <color rgb="FF003366"/>
      </bottom>
      <diagonal/>
    </border>
    <border>
      <left style="medium">
        <color theme="1" tint="0.499984740745262"/>
      </left>
      <right style="thin">
        <color rgb="FF003366"/>
      </right>
      <top style="hair">
        <color theme="4" tint="0.79998168889431442"/>
      </top>
      <bottom style="thin">
        <color rgb="FF003366"/>
      </bottom>
      <diagonal/>
    </border>
    <border>
      <left/>
      <right style="medium">
        <color theme="1" tint="0.499984740745262"/>
      </right>
      <top style="hair">
        <color theme="4" tint="0.79998168889431442"/>
      </top>
      <bottom style="hair">
        <color theme="4" tint="0.79998168889431442"/>
      </bottom>
      <diagonal/>
    </border>
    <border>
      <left style="thin">
        <color rgb="FF003366"/>
      </left>
      <right style="thin">
        <color theme="1" tint="0.499984740745262"/>
      </right>
      <top style="hair">
        <color theme="4" tint="0.79998168889431442"/>
      </top>
      <bottom style="hair">
        <color theme="4" tint="0.79998168889431442"/>
      </bottom>
      <diagonal/>
    </border>
    <border>
      <left style="thin">
        <color rgb="FF003366"/>
      </left>
      <right style="thin">
        <color theme="0" tint="-4.9989318521683403E-2"/>
      </right>
      <top style="hair">
        <color theme="4" tint="0.79998168889431442"/>
      </top>
      <bottom/>
      <diagonal/>
    </border>
    <border>
      <left style="thin">
        <color rgb="FF003366"/>
      </left>
      <right style="thin">
        <color theme="0" tint="-4.9989318521683403E-2"/>
      </right>
      <top style="hair">
        <color theme="4" tint="0.79998168889431442"/>
      </top>
      <bottom style="hair">
        <color theme="4" tint="0.79998168889431442"/>
      </bottom>
      <diagonal/>
    </border>
    <border>
      <left style="medium">
        <color theme="1" tint="0.499984740745262"/>
      </left>
      <right style="thin">
        <color rgb="FF003366"/>
      </right>
      <top style="hair">
        <color theme="4" tint="0.79998168889431442"/>
      </top>
      <bottom style="hair">
        <color theme="4" tint="0.79998168889431442"/>
      </bottom>
      <diagonal/>
    </border>
    <border>
      <left/>
      <right style="medium">
        <color theme="1" tint="0.499984740745262"/>
      </right>
      <top/>
      <bottom style="hair">
        <color theme="4" tint="0.79998168889431442"/>
      </bottom>
      <diagonal/>
    </border>
    <border>
      <left style="thin">
        <color rgb="FF003366"/>
      </left>
      <right style="thin">
        <color theme="1" tint="0.499984740745262"/>
      </right>
      <top/>
      <bottom style="hair">
        <color theme="4" tint="0.79998168889431442"/>
      </bottom>
      <diagonal/>
    </border>
    <border>
      <left style="thin">
        <color rgb="FF003366"/>
      </left>
      <right style="thin">
        <color theme="0" tint="-4.9989318521683403E-2"/>
      </right>
      <top/>
      <bottom style="hair">
        <color theme="4" tint="0.79998168889431442"/>
      </bottom>
      <diagonal/>
    </border>
    <border>
      <left style="medium">
        <color theme="1" tint="0.499984740745262"/>
      </left>
      <right style="thin">
        <color rgb="FF003366"/>
      </right>
      <top/>
      <bottom style="hair">
        <color theme="4" tint="0.79998168889431442"/>
      </bottom>
      <diagonal/>
    </border>
    <border>
      <left style="thin">
        <color theme="0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0"/>
      </right>
      <top style="thin">
        <color theme="1" tint="0.499984740745262"/>
      </top>
      <bottom/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/>
      </bottom>
      <diagonal/>
    </border>
    <border>
      <left/>
      <right/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medium">
        <color theme="1" tint="0.34998626667073579"/>
      </left>
      <right style="thin">
        <color theme="0"/>
      </right>
      <top style="medium">
        <color theme="1" tint="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 tint="0.34998626667073579"/>
      </top>
      <bottom style="thin">
        <color theme="0"/>
      </bottom>
      <diagonal/>
    </border>
    <border>
      <left style="thin">
        <color theme="0"/>
      </left>
      <right style="medium">
        <color theme="1" tint="0.34998626667073579"/>
      </right>
      <top style="medium">
        <color theme="1" tint="0.34998626667073579"/>
      </top>
      <bottom style="thin">
        <color theme="0"/>
      </bottom>
      <diagonal/>
    </border>
    <border>
      <left style="medium">
        <color theme="1" tint="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 tint="0.34998626667073579"/>
      </right>
      <top style="thin">
        <color theme="0"/>
      </top>
      <bottom style="thin">
        <color theme="0"/>
      </bottom>
      <diagonal/>
    </border>
    <border>
      <left style="medium">
        <color theme="1" tint="0.34998626667073579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 tint="0.34998626667073579"/>
      </right>
      <top style="thin">
        <color theme="0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114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5" borderId="0" xfId="0" applyFont="1" applyFill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9" fillId="7" borderId="17" xfId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4" borderId="22" xfId="3" applyFont="1" applyFill="1" applyBorder="1" applyAlignment="1">
      <alignment horizontal="center" vertical="center"/>
    </xf>
    <xf numFmtId="0" fontId="10" fillId="4" borderId="23" xfId="3" applyFont="1" applyFill="1" applyBorder="1" applyAlignment="1">
      <alignment horizontal="center" vertical="center"/>
    </xf>
    <xf numFmtId="0" fontId="12" fillId="4" borderId="24" xfId="3" applyFont="1" applyFill="1" applyBorder="1" applyAlignment="1">
      <alignment horizontal="center" vertical="center"/>
    </xf>
    <xf numFmtId="0" fontId="13" fillId="0" borderId="0" xfId="0" applyFont="1"/>
    <xf numFmtId="0" fontId="14" fillId="8" borderId="25" xfId="3" applyFont="1" applyFill="1" applyBorder="1" applyAlignment="1">
      <alignment horizontal="center" vertical="center"/>
    </xf>
    <xf numFmtId="0" fontId="14" fillId="8" borderId="26" xfId="3" applyFont="1" applyFill="1" applyBorder="1" applyAlignment="1">
      <alignment horizontal="center" vertical="center"/>
    </xf>
    <xf numFmtId="0" fontId="14" fillId="9" borderId="27" xfId="3" applyFont="1" applyFill="1" applyBorder="1" applyAlignment="1">
      <alignment horizontal="center" vertical="center"/>
    </xf>
    <xf numFmtId="0" fontId="15" fillId="10" borderId="28" xfId="3" applyFont="1" applyFill="1" applyBorder="1" applyAlignment="1">
      <alignment horizontal="center" vertical="center"/>
    </xf>
    <xf numFmtId="0" fontId="15" fillId="10" borderId="29" xfId="3" applyFont="1" applyFill="1" applyBorder="1" applyAlignment="1">
      <alignment horizontal="center" vertical="center"/>
    </xf>
    <xf numFmtId="0" fontId="14" fillId="4" borderId="30" xfId="3" applyFont="1" applyFill="1" applyBorder="1" applyAlignment="1">
      <alignment horizontal="center" vertical="center"/>
    </xf>
    <xf numFmtId="0" fontId="15" fillId="11" borderId="28" xfId="3" applyFont="1" applyFill="1" applyBorder="1" applyAlignment="1">
      <alignment horizontal="center" vertical="center"/>
    </xf>
    <xf numFmtId="0" fontId="15" fillId="11" borderId="29" xfId="3" applyFont="1" applyFill="1" applyBorder="1" applyAlignment="1">
      <alignment horizontal="center" vertical="center"/>
    </xf>
    <xf numFmtId="0" fontId="14" fillId="12" borderId="30" xfId="3" applyFont="1" applyFill="1" applyBorder="1" applyAlignment="1">
      <alignment horizontal="center" vertical="center"/>
    </xf>
    <xf numFmtId="0" fontId="3" fillId="0" borderId="0" xfId="2" applyFill="1" applyBorder="1"/>
    <xf numFmtId="0" fontId="4" fillId="13" borderId="30" xfId="3" applyFont="1" applyFill="1" applyBorder="1" applyAlignment="1">
      <alignment horizontal="center" vertical="center"/>
    </xf>
    <xf numFmtId="0" fontId="3" fillId="2" borderId="0" xfId="2" applyBorder="1"/>
    <xf numFmtId="0" fontId="1" fillId="0" borderId="0" xfId="0" applyFont="1"/>
    <xf numFmtId="49" fontId="20" fillId="0" borderId="37" xfId="0" applyNumberFormat="1" applyFont="1" applyBorder="1" applyAlignment="1">
      <alignment horizontal="center" vertical="center" wrapText="1" readingOrder="2"/>
    </xf>
    <xf numFmtId="0" fontId="19" fillId="0" borderId="38" xfId="0" applyFont="1" applyBorder="1" applyAlignment="1">
      <alignment horizontal="center" vertical="center" wrapText="1" readingOrder="2"/>
    </xf>
    <xf numFmtId="0" fontId="19" fillId="0" borderId="39" xfId="0" applyFont="1" applyBorder="1" applyAlignment="1">
      <alignment horizontal="center" vertical="center" wrapText="1" readingOrder="2"/>
    </xf>
    <xf numFmtId="49" fontId="20" fillId="15" borderId="41" xfId="0" applyNumberFormat="1" applyFont="1" applyFill="1" applyBorder="1" applyAlignment="1">
      <alignment horizontal="center" vertical="center" wrapText="1" readingOrder="2"/>
    </xf>
    <xf numFmtId="0" fontId="19" fillId="15" borderId="42" xfId="0" applyFont="1" applyFill="1" applyBorder="1" applyAlignment="1">
      <alignment horizontal="center" vertical="center" wrapText="1" readingOrder="2"/>
    </xf>
    <xf numFmtId="0" fontId="19" fillId="15" borderId="43" xfId="0" applyFont="1" applyFill="1" applyBorder="1" applyAlignment="1">
      <alignment horizontal="center" vertical="center" wrapText="1" readingOrder="2"/>
    </xf>
    <xf numFmtId="49" fontId="20" fillId="0" borderId="41" xfId="0" applyNumberFormat="1" applyFont="1" applyBorder="1" applyAlignment="1">
      <alignment horizontal="center" vertical="center" wrapText="1" readingOrder="2"/>
    </xf>
    <xf numFmtId="0" fontId="19" fillId="0" borderId="42" xfId="0" applyFont="1" applyBorder="1" applyAlignment="1">
      <alignment horizontal="center" vertical="center" wrapText="1" readingOrder="2"/>
    </xf>
    <xf numFmtId="0" fontId="19" fillId="0" borderId="43" xfId="0" applyFont="1" applyBorder="1" applyAlignment="1">
      <alignment horizontal="center" vertical="center" wrapText="1" readingOrder="2"/>
    </xf>
    <xf numFmtId="0" fontId="20" fillId="0" borderId="42" xfId="0" applyFont="1" applyBorder="1" applyAlignment="1">
      <alignment horizontal="center" vertical="center" wrapText="1" readingOrder="2"/>
    </xf>
    <xf numFmtId="164" fontId="8" fillId="15" borderId="16" xfId="0" applyNumberFormat="1" applyFont="1" applyFill="1" applyBorder="1" applyAlignment="1">
      <alignment horizontal="center" vertical="center"/>
    </xf>
    <xf numFmtId="0" fontId="21" fillId="16" borderId="45" xfId="3" applyFont="1" applyFill="1" applyBorder="1" applyAlignment="1">
      <alignment horizontal="center" vertical="center"/>
    </xf>
    <xf numFmtId="0" fontId="21" fillId="16" borderId="42" xfId="3" applyFont="1" applyFill="1" applyBorder="1" applyAlignment="1">
      <alignment horizontal="center" vertical="center"/>
    </xf>
    <xf numFmtId="0" fontId="22" fillId="16" borderId="42" xfId="3" applyFont="1" applyFill="1" applyBorder="1" applyAlignment="1">
      <alignment horizontal="left" vertical="center"/>
    </xf>
    <xf numFmtId="0" fontId="21" fillId="16" borderId="41" xfId="3" applyFont="1" applyFill="1" applyBorder="1" applyAlignment="1">
      <alignment horizontal="center" vertical="center"/>
    </xf>
    <xf numFmtId="0" fontId="21" fillId="17" borderId="46" xfId="0" applyFont="1" applyFill="1" applyBorder="1" applyAlignment="1">
      <alignment horizontal="center" vertical="top" wrapText="1" readingOrder="2"/>
    </xf>
    <xf numFmtId="0" fontId="22" fillId="17" borderId="47" xfId="0" applyFont="1" applyFill="1" applyBorder="1" applyAlignment="1">
      <alignment horizontal="center" vertical="center" wrapText="1" readingOrder="2"/>
    </xf>
    <xf numFmtId="0" fontId="25" fillId="18" borderId="46" xfId="0" applyFont="1" applyFill="1" applyBorder="1" applyAlignment="1">
      <alignment horizontal="center" vertical="center" wrapText="1" readingOrder="2"/>
    </xf>
    <xf numFmtId="0" fontId="25" fillId="18" borderId="47" xfId="0" applyFont="1" applyFill="1" applyBorder="1" applyAlignment="1">
      <alignment horizontal="center" vertical="center" wrapText="1" readingOrder="2"/>
    </xf>
    <xf numFmtId="0" fontId="28" fillId="0" borderId="16" xfId="0" applyFont="1" applyBorder="1" applyAlignment="1">
      <alignment horizontal="center" vertical="center"/>
    </xf>
    <xf numFmtId="0" fontId="30" fillId="19" borderId="56" xfId="0" applyFont="1" applyFill="1" applyBorder="1" applyAlignment="1">
      <alignment vertical="center" wrapText="1"/>
    </xf>
    <xf numFmtId="0" fontId="1" fillId="18" borderId="56" xfId="0" applyFont="1" applyFill="1" applyBorder="1" applyAlignment="1">
      <alignment horizontal="center" vertical="center" wrapText="1"/>
    </xf>
    <xf numFmtId="0" fontId="1" fillId="4" borderId="58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63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6" fillId="6" borderId="61" xfId="0" applyFont="1" applyFill="1" applyBorder="1" applyAlignment="1">
      <alignment horizontal="center" vertical="center" wrapText="1"/>
    </xf>
    <xf numFmtId="0" fontId="36" fillId="6" borderId="62" xfId="0" applyFont="1" applyFill="1" applyBorder="1" applyAlignment="1">
      <alignment horizontal="center" vertical="center" wrapText="1"/>
    </xf>
    <xf numFmtId="0" fontId="36" fillId="6" borderId="63" xfId="0" applyFont="1" applyFill="1" applyBorder="1" applyAlignment="1">
      <alignment horizontal="center" vertical="center" wrapText="1"/>
    </xf>
    <xf numFmtId="0" fontId="18" fillId="14" borderId="35" xfId="0" applyFont="1" applyFill="1" applyBorder="1" applyAlignment="1">
      <alignment horizontal="center" vertical="center" wrapText="1" readingOrder="2"/>
    </xf>
    <xf numFmtId="0" fontId="18" fillId="14" borderId="34" xfId="0" applyFont="1" applyFill="1" applyBorder="1" applyAlignment="1">
      <alignment horizontal="center" vertical="center" wrapText="1" readingOrder="2"/>
    </xf>
    <xf numFmtId="0" fontId="18" fillId="14" borderId="33" xfId="0" applyFont="1" applyFill="1" applyBorder="1" applyAlignment="1">
      <alignment horizontal="center" vertical="center" wrapText="1" readingOrder="2"/>
    </xf>
    <xf numFmtId="0" fontId="17" fillId="14" borderId="35" xfId="0" applyFont="1" applyFill="1" applyBorder="1" applyAlignment="1">
      <alignment horizontal="center" vertical="center" wrapText="1" readingOrder="2"/>
    </xf>
    <xf numFmtId="0" fontId="17" fillId="14" borderId="34" xfId="0" applyFont="1" applyFill="1" applyBorder="1" applyAlignment="1">
      <alignment horizontal="center" vertical="center" wrapText="1" readingOrder="2"/>
    </xf>
    <xf numFmtId="0" fontId="17" fillId="14" borderId="33" xfId="0" applyFont="1" applyFill="1" applyBorder="1" applyAlignment="1">
      <alignment horizontal="center" vertical="center" wrapText="1" readingOrder="2"/>
    </xf>
    <xf numFmtId="0" fontId="16" fillId="13" borderId="29" xfId="0" applyFont="1" applyFill="1" applyBorder="1" applyAlignment="1">
      <alignment horizontal="center" vertical="center" wrapText="1" readingOrder="1"/>
    </xf>
    <xf numFmtId="0" fontId="16" fillId="13" borderId="32" xfId="0" applyFont="1" applyFill="1" applyBorder="1" applyAlignment="1">
      <alignment horizontal="center" vertical="center" wrapText="1" readingOrder="1"/>
    </xf>
    <xf numFmtId="0" fontId="16" fillId="13" borderId="31" xfId="0" applyFont="1" applyFill="1" applyBorder="1" applyAlignment="1">
      <alignment horizontal="center" vertical="center" wrapText="1" readingOrder="1"/>
    </xf>
    <xf numFmtId="0" fontId="7" fillId="4" borderId="7" xfId="0" applyFont="1" applyFill="1" applyBorder="1" applyAlignment="1">
      <alignment horizontal="center" readingOrder="2"/>
    </xf>
    <xf numFmtId="0" fontId="7" fillId="4" borderId="6" xfId="0" applyFont="1" applyFill="1" applyBorder="1" applyAlignment="1">
      <alignment horizontal="center" readingOrder="2"/>
    </xf>
    <xf numFmtId="0" fontId="6" fillId="4" borderId="6" xfId="0" applyFont="1" applyFill="1" applyBorder="1" applyAlignment="1">
      <alignment horizontal="center" readingOrder="1"/>
    </xf>
    <xf numFmtId="0" fontId="6" fillId="4" borderId="5" xfId="0" applyFont="1" applyFill="1" applyBorder="1" applyAlignment="1">
      <alignment horizontal="center" readingOrder="1"/>
    </xf>
    <xf numFmtId="0" fontId="19" fillId="0" borderId="44" xfId="3" applyFont="1" applyFill="1" applyBorder="1" applyAlignment="1">
      <alignment horizontal="center" vertical="center" wrapText="1"/>
    </xf>
    <xf numFmtId="0" fontId="19" fillId="0" borderId="40" xfId="0" applyFont="1" applyBorder="1"/>
    <xf numFmtId="0" fontId="19" fillId="0" borderId="36" xfId="0" applyFont="1" applyBorder="1"/>
    <xf numFmtId="0" fontId="27" fillId="17" borderId="52" xfId="0" applyFont="1" applyFill="1" applyBorder="1" applyAlignment="1">
      <alignment horizontal="center" vertical="center" wrapText="1" readingOrder="2"/>
    </xf>
    <xf numFmtId="0" fontId="27" fillId="17" borderId="51" xfId="0" applyFont="1" applyFill="1" applyBorder="1" applyAlignment="1">
      <alignment horizontal="center" vertical="center" wrapText="1" readingOrder="2"/>
    </xf>
    <xf numFmtId="0" fontId="27" fillId="17" borderId="50" xfId="0" applyFont="1" applyFill="1" applyBorder="1" applyAlignment="1">
      <alignment horizontal="center" vertical="center" wrapText="1" readingOrder="2"/>
    </xf>
    <xf numFmtId="0" fontId="23" fillId="18" borderId="0" xfId="0" applyFont="1" applyFill="1" applyAlignment="1">
      <alignment horizontal="center" vertical="center" wrapText="1" readingOrder="1"/>
    </xf>
    <xf numFmtId="0" fontId="23" fillId="18" borderId="48" xfId="0" applyFont="1" applyFill="1" applyBorder="1" applyAlignment="1">
      <alignment horizontal="center" vertical="center" wrapText="1" readingOrder="1"/>
    </xf>
    <xf numFmtId="0" fontId="25" fillId="18" borderId="3" xfId="0" applyFont="1" applyFill="1" applyBorder="1" applyAlignment="1">
      <alignment horizontal="center" vertical="center" wrapText="1" readingOrder="2"/>
    </xf>
    <xf numFmtId="0" fontId="25" fillId="18" borderId="49" xfId="0" applyFont="1" applyFill="1" applyBorder="1" applyAlignment="1">
      <alignment horizontal="center" vertical="center" wrapText="1" readingOrder="2"/>
    </xf>
    <xf numFmtId="0" fontId="29" fillId="14" borderId="53" xfId="0" applyFont="1" applyFill="1" applyBorder="1" applyAlignment="1">
      <alignment horizontal="center" vertical="center" wrapText="1" readingOrder="2"/>
    </xf>
    <xf numFmtId="0" fontId="29" fillId="14" borderId="54" xfId="0" applyFont="1" applyFill="1" applyBorder="1" applyAlignment="1">
      <alignment horizontal="center" vertical="center" wrapText="1" readingOrder="2"/>
    </xf>
    <xf numFmtId="0" fontId="29" fillId="14" borderId="55" xfId="0" applyFont="1" applyFill="1" applyBorder="1" applyAlignment="1">
      <alignment horizontal="center" vertical="center" wrapText="1" readingOrder="2"/>
    </xf>
    <xf numFmtId="0" fontId="30" fillId="19" borderId="42" xfId="0" applyFont="1" applyFill="1" applyBorder="1" applyAlignment="1">
      <alignment horizontal="center" vertical="center" wrapText="1"/>
    </xf>
    <xf numFmtId="0" fontId="30" fillId="19" borderId="57" xfId="0" applyFont="1" applyFill="1" applyBorder="1" applyAlignment="1">
      <alignment horizontal="center" vertical="center" wrapText="1"/>
    </xf>
    <xf numFmtId="0" fontId="31" fillId="4" borderId="56" xfId="0" applyFont="1" applyFill="1" applyBorder="1" applyAlignment="1">
      <alignment horizontal="center" vertical="center" wrapText="1"/>
    </xf>
    <xf numFmtId="0" fontId="31" fillId="4" borderId="42" xfId="0" applyFont="1" applyFill="1" applyBorder="1" applyAlignment="1">
      <alignment horizontal="center" vertical="center" wrapText="1"/>
    </xf>
    <xf numFmtId="0" fontId="31" fillId="4" borderId="57" xfId="0" applyFont="1" applyFill="1" applyBorder="1" applyAlignment="1">
      <alignment horizontal="center" vertical="center" wrapText="1"/>
    </xf>
    <xf numFmtId="0" fontId="32" fillId="20" borderId="42" xfId="0" applyFont="1" applyFill="1" applyBorder="1" applyAlignment="1">
      <alignment horizontal="center" vertical="center" wrapText="1"/>
    </xf>
    <xf numFmtId="0" fontId="32" fillId="20" borderId="57" xfId="0" applyFont="1" applyFill="1" applyBorder="1" applyAlignment="1">
      <alignment horizontal="center" vertical="center" wrapText="1"/>
    </xf>
    <xf numFmtId="0" fontId="33" fillId="21" borderId="61" xfId="0" applyFont="1" applyFill="1" applyBorder="1" applyAlignment="1">
      <alignment horizontal="center" vertical="center" wrapText="1"/>
    </xf>
    <xf numFmtId="0" fontId="31" fillId="21" borderId="62" xfId="0" applyFont="1" applyFill="1" applyBorder="1" applyAlignment="1">
      <alignment horizontal="center" vertical="center" wrapText="1"/>
    </xf>
    <xf numFmtId="0" fontId="31" fillId="21" borderId="63" xfId="0" applyFont="1" applyFill="1" applyBorder="1" applyAlignment="1">
      <alignment horizontal="center" vertical="center" wrapText="1"/>
    </xf>
    <xf numFmtId="0" fontId="37" fillId="21" borderId="64" xfId="0" applyFont="1" applyFill="1" applyBorder="1" applyAlignment="1">
      <alignment horizontal="right" wrapText="1" readingOrder="2"/>
    </xf>
    <xf numFmtId="0" fontId="37" fillId="21" borderId="65" xfId="0" applyFont="1" applyFill="1" applyBorder="1" applyAlignment="1">
      <alignment horizontal="right" wrapText="1" readingOrder="2"/>
    </xf>
    <xf numFmtId="0" fontId="37" fillId="21" borderId="66" xfId="0" applyFont="1" applyFill="1" applyBorder="1" applyAlignment="1">
      <alignment horizontal="right" wrapText="1" readingOrder="2"/>
    </xf>
    <xf numFmtId="0" fontId="32" fillId="19" borderId="59" xfId="0" applyFont="1" applyFill="1" applyBorder="1" applyAlignment="1">
      <alignment horizontal="center" vertical="center" wrapText="1"/>
    </xf>
    <xf numFmtId="0" fontId="32" fillId="19" borderId="60" xfId="0" applyFont="1" applyFill="1" applyBorder="1" applyAlignment="1">
      <alignment horizontal="center" vertical="center" wrapText="1"/>
    </xf>
  </cellXfs>
  <cellStyles count="4">
    <cellStyle name="20% - Accent1" xfId="3" builtinId="30"/>
    <cellStyle name="Heading 3" xfId="1" builtinId="1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5;&#1587;&#1606;&#1575;&#1583;%20&#1588;&#1585;&#1705;&#1578;\&#1583;&#1740;&#1711;&#1585;\&#1580;&#1583;&#1608;&#1604;\h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_مرجع"/>
      <sheetName val="96%"/>
      <sheetName val="GAS iso4437"/>
      <sheetName val="دفتر"/>
      <sheetName val="price"/>
      <sheetName val="قیمت ( تومان )"/>
    </sheetNames>
    <sheetDataSet>
      <sheetData sheetId="0">
        <row r="2">
          <cell r="B2" t="str">
            <v>PE PIPE for Water supply according to DIN 8074 / ISO 4427-2</v>
          </cell>
        </row>
        <row r="3">
          <cell r="B3" t="str">
            <v>مشخصات لوله های آبرسانی بر اساس استاندارد INSO 14427-2 ( بوکان پایپ)</v>
          </cell>
        </row>
        <row r="4">
          <cell r="B4" t="str">
            <v>Nominal Pressure (PN) bar</v>
          </cell>
        </row>
        <row r="5">
          <cell r="D5" t="str">
            <v xml:space="preserve"> PN2.5</v>
          </cell>
          <cell r="F5" t="str">
            <v xml:space="preserve"> PN3.2</v>
          </cell>
          <cell r="H5" t="str">
            <v xml:space="preserve"> PN4</v>
          </cell>
          <cell r="J5" t="str">
            <v xml:space="preserve"> PN5</v>
          </cell>
          <cell r="L5" t="str">
            <v xml:space="preserve"> PN6</v>
          </cell>
          <cell r="N5" t="str">
            <v xml:space="preserve"> PN8</v>
          </cell>
          <cell r="P5" t="str">
            <v xml:space="preserve"> PN10</v>
          </cell>
          <cell r="R5" t="str">
            <v xml:space="preserve"> PN12.5</v>
          </cell>
          <cell r="T5" t="str">
            <v xml:space="preserve"> PN16</v>
          </cell>
          <cell r="V5" t="str">
            <v>PN20</v>
          </cell>
          <cell r="X5" t="str">
            <v>PN25</v>
          </cell>
        </row>
        <row r="6">
          <cell r="D6" t="str">
            <v>PN3.2</v>
          </cell>
          <cell r="F6" t="str">
            <v>PN4</v>
          </cell>
          <cell r="H6" t="str">
            <v>PN5</v>
          </cell>
          <cell r="J6" t="str">
            <v>PN6</v>
          </cell>
          <cell r="L6" t="str">
            <v>PN8</v>
          </cell>
          <cell r="N6" t="str">
            <v>PN10</v>
          </cell>
          <cell r="P6" t="str">
            <v>PN12.5</v>
          </cell>
          <cell r="R6" t="str">
            <v>PN16</v>
          </cell>
          <cell r="T6" t="str">
            <v>PN20</v>
          </cell>
          <cell r="V6" t="str">
            <v>PN25</v>
          </cell>
          <cell r="X6" t="str">
            <v>-</v>
          </cell>
        </row>
        <row r="7">
          <cell r="D7">
            <v>51</v>
          </cell>
          <cell r="F7">
            <v>41</v>
          </cell>
          <cell r="H7">
            <v>33</v>
          </cell>
          <cell r="J7">
            <v>26</v>
          </cell>
          <cell r="L7">
            <v>21</v>
          </cell>
          <cell r="N7">
            <v>17</v>
          </cell>
          <cell r="P7">
            <v>13.6</v>
          </cell>
          <cell r="R7">
            <v>11</v>
          </cell>
          <cell r="T7">
            <v>9</v>
          </cell>
          <cell r="V7">
            <v>7.4</v>
          </cell>
          <cell r="X7">
            <v>6</v>
          </cell>
        </row>
        <row r="10">
          <cell r="C10">
            <v>16</v>
          </cell>
          <cell r="D10" t="str">
            <v>-</v>
          </cell>
          <cell r="F10" t="str">
            <v>-</v>
          </cell>
          <cell r="H10" t="str">
            <v>-</v>
          </cell>
          <cell r="J10" t="str">
            <v>-</v>
          </cell>
          <cell r="L10" t="str">
            <v>-</v>
          </cell>
          <cell r="N10" t="str">
            <v>-</v>
          </cell>
          <cell r="P10" t="str">
            <v>-</v>
          </cell>
          <cell r="R10" t="str">
            <v>-</v>
          </cell>
          <cell r="T10">
            <v>2</v>
          </cell>
          <cell r="V10">
            <v>2.2999999999999998</v>
          </cell>
          <cell r="X10">
            <v>3</v>
          </cell>
        </row>
        <row r="11">
          <cell r="C11">
            <v>20</v>
          </cell>
          <cell r="D11" t="str">
            <v>-</v>
          </cell>
          <cell r="F11" t="str">
            <v>-</v>
          </cell>
          <cell r="H11" t="str">
            <v>-</v>
          </cell>
          <cell r="J11" t="str">
            <v>-</v>
          </cell>
          <cell r="L11" t="str">
            <v>-</v>
          </cell>
          <cell r="N11" t="str">
            <v>-</v>
          </cell>
          <cell r="P11" t="str">
            <v>-</v>
          </cell>
          <cell r="R11">
            <v>2</v>
          </cell>
          <cell r="T11">
            <v>2.2999999999999998</v>
          </cell>
          <cell r="V11">
            <v>3</v>
          </cell>
          <cell r="X11">
            <v>3.4</v>
          </cell>
        </row>
        <row r="12">
          <cell r="C12">
            <v>25</v>
          </cell>
          <cell r="D12" t="str">
            <v>-</v>
          </cell>
          <cell r="F12" t="str">
            <v>-</v>
          </cell>
          <cell r="H12" t="str">
            <v>-</v>
          </cell>
          <cell r="J12" t="str">
            <v>-</v>
          </cell>
          <cell r="L12">
            <v>1.5</v>
          </cell>
          <cell r="N12">
            <v>1.8</v>
          </cell>
          <cell r="P12">
            <v>2</v>
          </cell>
          <cell r="R12">
            <v>2.2999999999999998</v>
          </cell>
          <cell r="T12">
            <v>3</v>
          </cell>
          <cell r="V12">
            <v>3.5</v>
          </cell>
          <cell r="X12">
            <v>4.2</v>
          </cell>
        </row>
        <row r="13">
          <cell r="C13">
            <v>32</v>
          </cell>
          <cell r="D13" t="str">
            <v>-</v>
          </cell>
          <cell r="F13" t="str">
            <v>-</v>
          </cell>
          <cell r="H13" t="str">
            <v>-</v>
          </cell>
          <cell r="J13" t="str">
            <v>-</v>
          </cell>
          <cell r="L13" t="str">
            <v>-</v>
          </cell>
          <cell r="N13">
            <v>2</v>
          </cell>
          <cell r="P13">
            <v>2.4</v>
          </cell>
          <cell r="R13">
            <v>3</v>
          </cell>
          <cell r="T13">
            <v>3.6</v>
          </cell>
          <cell r="V13">
            <v>4.4000000000000004</v>
          </cell>
          <cell r="X13">
            <v>5.4</v>
          </cell>
        </row>
        <row r="14">
          <cell r="C14">
            <v>40</v>
          </cell>
          <cell r="D14" t="str">
            <v>-</v>
          </cell>
          <cell r="F14" t="str">
            <v>-</v>
          </cell>
          <cell r="H14" t="str">
            <v>-</v>
          </cell>
          <cell r="J14">
            <v>1.8</v>
          </cell>
          <cell r="L14">
            <v>2</v>
          </cell>
          <cell r="N14">
            <v>2.4</v>
          </cell>
          <cell r="P14">
            <v>3</v>
          </cell>
          <cell r="R14">
            <v>3.7</v>
          </cell>
          <cell r="T14">
            <v>4.5</v>
          </cell>
          <cell r="V14">
            <v>5.5</v>
          </cell>
          <cell r="X14">
            <v>6.7</v>
          </cell>
        </row>
        <row r="15">
          <cell r="C15">
            <v>50</v>
          </cell>
          <cell r="D15" t="str">
            <v>-</v>
          </cell>
          <cell r="F15" t="str">
            <v>-</v>
          </cell>
          <cell r="H15">
            <v>1.8</v>
          </cell>
          <cell r="J15">
            <v>2</v>
          </cell>
          <cell r="L15">
            <v>2.4</v>
          </cell>
          <cell r="N15">
            <v>3</v>
          </cell>
          <cell r="P15">
            <v>3.7</v>
          </cell>
          <cell r="R15">
            <v>4.5999999999999996</v>
          </cell>
          <cell r="T15">
            <v>5.6</v>
          </cell>
          <cell r="V15">
            <v>6.9</v>
          </cell>
          <cell r="X15">
            <v>8.3000000000000007</v>
          </cell>
        </row>
        <row r="16">
          <cell r="C16">
            <v>63</v>
          </cell>
          <cell r="F16">
            <v>1.8</v>
          </cell>
          <cell r="H16">
            <v>2</v>
          </cell>
          <cell r="J16">
            <v>2.5</v>
          </cell>
          <cell r="L16">
            <v>3</v>
          </cell>
          <cell r="N16">
            <v>3.8</v>
          </cell>
          <cell r="P16">
            <v>4.7</v>
          </cell>
          <cell r="R16">
            <v>5.8</v>
          </cell>
          <cell r="T16">
            <v>7.1</v>
          </cell>
          <cell r="V16">
            <v>8.6</v>
          </cell>
          <cell r="X16">
            <v>10.5</v>
          </cell>
        </row>
        <row r="17">
          <cell r="C17">
            <v>75</v>
          </cell>
          <cell r="D17">
            <v>1.8</v>
          </cell>
          <cell r="F17">
            <v>2</v>
          </cell>
          <cell r="H17">
            <v>2.2999999999999998</v>
          </cell>
          <cell r="J17">
            <v>2.9</v>
          </cell>
          <cell r="L17">
            <v>3.6</v>
          </cell>
          <cell r="N17">
            <v>4.5</v>
          </cell>
          <cell r="P17">
            <v>5.6</v>
          </cell>
          <cell r="R17">
            <v>6.8</v>
          </cell>
          <cell r="T17">
            <v>8.4</v>
          </cell>
          <cell r="V17">
            <v>10.3</v>
          </cell>
          <cell r="X17">
            <v>12.5</v>
          </cell>
        </row>
        <row r="18">
          <cell r="C18">
            <v>90</v>
          </cell>
          <cell r="D18">
            <v>1.8</v>
          </cell>
          <cell r="F18">
            <v>2.2000000000000002</v>
          </cell>
          <cell r="H18">
            <v>2.8</v>
          </cell>
          <cell r="J18">
            <v>3.5</v>
          </cell>
          <cell r="L18">
            <v>4.3</v>
          </cell>
          <cell r="N18">
            <v>5.4</v>
          </cell>
          <cell r="P18">
            <v>6.7</v>
          </cell>
          <cell r="R18">
            <v>8.1999999999999993</v>
          </cell>
          <cell r="T18">
            <v>10.1</v>
          </cell>
          <cell r="V18">
            <v>12.3</v>
          </cell>
          <cell r="X18">
            <v>15</v>
          </cell>
        </row>
        <row r="19">
          <cell r="C19">
            <v>110</v>
          </cell>
          <cell r="D19">
            <v>2.2000000000000002</v>
          </cell>
          <cell r="F19">
            <v>2.7</v>
          </cell>
          <cell r="H19">
            <v>3.4</v>
          </cell>
          <cell r="J19">
            <v>4.2</v>
          </cell>
          <cell r="L19">
            <v>5.3</v>
          </cell>
          <cell r="N19">
            <v>6.6</v>
          </cell>
          <cell r="P19">
            <v>8.1</v>
          </cell>
          <cell r="R19">
            <v>10</v>
          </cell>
          <cell r="T19">
            <v>12.3</v>
          </cell>
          <cell r="V19">
            <v>15.1</v>
          </cell>
          <cell r="X19">
            <v>18.3</v>
          </cell>
        </row>
        <row r="20">
          <cell r="C20">
            <v>125</v>
          </cell>
          <cell r="D20">
            <v>2.5</v>
          </cell>
          <cell r="F20">
            <v>3.1</v>
          </cell>
          <cell r="H20">
            <v>3.9</v>
          </cell>
          <cell r="J20">
            <v>4.8</v>
          </cell>
          <cell r="L20">
            <v>6</v>
          </cell>
          <cell r="N20">
            <v>7.4</v>
          </cell>
          <cell r="P20">
            <v>9.1999999999999993</v>
          </cell>
          <cell r="R20">
            <v>11.4</v>
          </cell>
          <cell r="T20">
            <v>14</v>
          </cell>
          <cell r="V20">
            <v>17.100000000000001</v>
          </cell>
          <cell r="X20">
            <v>20.8</v>
          </cell>
        </row>
        <row r="21">
          <cell r="C21">
            <v>140</v>
          </cell>
          <cell r="D21">
            <v>2.8</v>
          </cell>
          <cell r="F21">
            <v>3.5</v>
          </cell>
          <cell r="H21">
            <v>4.3</v>
          </cell>
          <cell r="J21">
            <v>5.4</v>
          </cell>
          <cell r="L21">
            <v>6.7</v>
          </cell>
          <cell r="N21">
            <v>8.3000000000000007</v>
          </cell>
          <cell r="P21">
            <v>10.3</v>
          </cell>
          <cell r="R21">
            <v>12.7</v>
          </cell>
          <cell r="T21">
            <v>15.7</v>
          </cell>
          <cell r="V21">
            <v>19.2</v>
          </cell>
          <cell r="X21">
            <v>23.3</v>
          </cell>
        </row>
        <row r="22">
          <cell r="C22">
            <v>160</v>
          </cell>
          <cell r="D22">
            <v>3.2</v>
          </cell>
          <cell r="F22">
            <v>4</v>
          </cell>
          <cell r="H22">
            <v>4.9000000000000004</v>
          </cell>
          <cell r="J22">
            <v>6.2</v>
          </cell>
          <cell r="L22">
            <v>7.7</v>
          </cell>
          <cell r="N22">
            <v>9.5</v>
          </cell>
          <cell r="P22">
            <v>11.8</v>
          </cell>
          <cell r="R22">
            <v>14.6</v>
          </cell>
          <cell r="T22">
            <v>17.899999999999999</v>
          </cell>
          <cell r="V22">
            <v>21.9</v>
          </cell>
          <cell r="X22">
            <v>26.6</v>
          </cell>
        </row>
        <row r="23">
          <cell r="C23">
            <v>180</v>
          </cell>
          <cell r="D23">
            <v>3.6</v>
          </cell>
          <cell r="F23">
            <v>4.4000000000000004</v>
          </cell>
          <cell r="H23">
            <v>5.5</v>
          </cell>
          <cell r="J23">
            <v>6.9</v>
          </cell>
          <cell r="L23">
            <v>8.6</v>
          </cell>
          <cell r="N23">
            <v>10.7</v>
          </cell>
          <cell r="P23">
            <v>13.3</v>
          </cell>
          <cell r="R23">
            <v>16.399999999999999</v>
          </cell>
          <cell r="T23">
            <v>20.100000000000001</v>
          </cell>
          <cell r="V23">
            <v>24.6</v>
          </cell>
          <cell r="X23">
            <v>29.9</v>
          </cell>
        </row>
        <row r="24">
          <cell r="C24">
            <v>200</v>
          </cell>
          <cell r="D24">
            <v>3.9</v>
          </cell>
          <cell r="F24">
            <v>4.9000000000000004</v>
          </cell>
          <cell r="H24">
            <v>6.2</v>
          </cell>
          <cell r="J24">
            <v>7.7</v>
          </cell>
          <cell r="L24">
            <v>9.6</v>
          </cell>
          <cell r="N24">
            <v>11.9</v>
          </cell>
          <cell r="P24">
            <v>14.7</v>
          </cell>
          <cell r="R24">
            <v>18.2</v>
          </cell>
          <cell r="T24">
            <v>22.4</v>
          </cell>
          <cell r="V24">
            <v>27.4</v>
          </cell>
          <cell r="X24">
            <v>33.200000000000003</v>
          </cell>
        </row>
        <row r="25">
          <cell r="C25">
            <v>225</v>
          </cell>
          <cell r="D25">
            <v>4.4000000000000004</v>
          </cell>
          <cell r="F25">
            <v>5.5</v>
          </cell>
          <cell r="H25">
            <v>6.9</v>
          </cell>
          <cell r="J25">
            <v>8.6</v>
          </cell>
          <cell r="L25">
            <v>10.8</v>
          </cell>
          <cell r="N25">
            <v>13.4</v>
          </cell>
          <cell r="P25">
            <v>16.600000000000001</v>
          </cell>
          <cell r="R25">
            <v>20.5</v>
          </cell>
          <cell r="T25">
            <v>25.2</v>
          </cell>
          <cell r="V25">
            <v>30.8</v>
          </cell>
          <cell r="X25">
            <v>37.4</v>
          </cell>
        </row>
        <row r="26">
          <cell r="C26">
            <v>250</v>
          </cell>
          <cell r="D26">
            <v>4.9000000000000004</v>
          </cell>
          <cell r="F26">
            <v>6.2</v>
          </cell>
          <cell r="H26">
            <v>7.7</v>
          </cell>
          <cell r="J26">
            <v>9.6</v>
          </cell>
          <cell r="L26">
            <v>11.9</v>
          </cell>
          <cell r="N26">
            <v>14.8</v>
          </cell>
          <cell r="P26">
            <v>18.399999999999999</v>
          </cell>
          <cell r="R26">
            <v>22.7</v>
          </cell>
          <cell r="T26">
            <v>27.9</v>
          </cell>
          <cell r="V26">
            <v>34.200000000000003</v>
          </cell>
          <cell r="X26">
            <v>41.6</v>
          </cell>
        </row>
        <row r="27">
          <cell r="C27">
            <v>280</v>
          </cell>
          <cell r="D27">
            <v>5.5</v>
          </cell>
          <cell r="F27">
            <v>6.9</v>
          </cell>
          <cell r="H27">
            <v>8.6</v>
          </cell>
          <cell r="J27">
            <v>10.7</v>
          </cell>
          <cell r="L27">
            <v>13.4</v>
          </cell>
          <cell r="N27">
            <v>16.600000000000001</v>
          </cell>
          <cell r="P27">
            <v>20.6</v>
          </cell>
          <cell r="R27">
            <v>25.4</v>
          </cell>
          <cell r="T27">
            <v>31.3</v>
          </cell>
          <cell r="V27">
            <v>38.299999999999997</v>
          </cell>
          <cell r="X27">
            <v>46.5</v>
          </cell>
        </row>
        <row r="28">
          <cell r="C28">
            <v>315</v>
          </cell>
          <cell r="D28">
            <v>6.2</v>
          </cell>
          <cell r="F28">
            <v>7.7</v>
          </cell>
          <cell r="H28">
            <v>9.6999999999999993</v>
          </cell>
          <cell r="J28">
            <v>12.1</v>
          </cell>
          <cell r="L28">
            <v>15</v>
          </cell>
          <cell r="N28">
            <v>18.7</v>
          </cell>
          <cell r="P28">
            <v>23.2</v>
          </cell>
          <cell r="R28">
            <v>28.6</v>
          </cell>
          <cell r="T28">
            <v>35.200000000000003</v>
          </cell>
          <cell r="V28">
            <v>43.1</v>
          </cell>
          <cell r="X28">
            <v>52.3</v>
          </cell>
        </row>
        <row r="29">
          <cell r="C29">
            <v>355</v>
          </cell>
          <cell r="D29">
            <v>7</v>
          </cell>
          <cell r="F29">
            <v>8.6999999999999993</v>
          </cell>
          <cell r="H29">
            <v>10.9</v>
          </cell>
          <cell r="J29">
            <v>13.6</v>
          </cell>
          <cell r="L29">
            <v>16.899999999999999</v>
          </cell>
          <cell r="N29">
            <v>21.1</v>
          </cell>
          <cell r="P29">
            <v>26.1</v>
          </cell>
          <cell r="R29">
            <v>32.200000000000003</v>
          </cell>
          <cell r="T29">
            <v>39.700000000000003</v>
          </cell>
          <cell r="V29">
            <v>48.5</v>
          </cell>
          <cell r="X29">
            <v>59</v>
          </cell>
        </row>
        <row r="30">
          <cell r="C30">
            <v>400</v>
          </cell>
          <cell r="D30">
            <v>7.9</v>
          </cell>
          <cell r="F30">
            <v>9.8000000000000007</v>
          </cell>
          <cell r="H30">
            <v>12.3</v>
          </cell>
          <cell r="J30">
            <v>15.3</v>
          </cell>
          <cell r="L30">
            <v>19.100000000000001</v>
          </cell>
          <cell r="N30">
            <v>23.7</v>
          </cell>
          <cell r="P30">
            <v>29.4</v>
          </cell>
          <cell r="R30">
            <v>36.299999999999997</v>
          </cell>
          <cell r="T30">
            <v>44.7</v>
          </cell>
          <cell r="V30">
            <v>54.7</v>
          </cell>
          <cell r="X30">
            <v>66.5</v>
          </cell>
        </row>
        <row r="31">
          <cell r="C31">
            <v>450</v>
          </cell>
          <cell r="D31">
            <v>8.8000000000000007</v>
          </cell>
          <cell r="F31">
            <v>11</v>
          </cell>
          <cell r="H31">
            <v>13.8</v>
          </cell>
          <cell r="J31">
            <v>17.2</v>
          </cell>
          <cell r="L31">
            <v>21.5</v>
          </cell>
          <cell r="N31">
            <v>26.7</v>
          </cell>
          <cell r="P31">
            <v>33.1</v>
          </cell>
          <cell r="R31">
            <v>40.9</v>
          </cell>
          <cell r="T31">
            <v>50.3</v>
          </cell>
          <cell r="V31">
            <v>61.5</v>
          </cell>
          <cell r="X31" t="str">
            <v>-</v>
          </cell>
        </row>
        <row r="32">
          <cell r="C32">
            <v>500</v>
          </cell>
          <cell r="D32">
            <v>9.8000000000000007</v>
          </cell>
          <cell r="F32">
            <v>12.3</v>
          </cell>
          <cell r="H32">
            <v>15.3</v>
          </cell>
          <cell r="J32">
            <v>19.100000000000001</v>
          </cell>
          <cell r="L32">
            <v>23.9</v>
          </cell>
          <cell r="N32">
            <v>29.7</v>
          </cell>
          <cell r="P32">
            <v>36.799999999999997</v>
          </cell>
          <cell r="R32">
            <v>45.4</v>
          </cell>
          <cell r="T32">
            <v>55.8</v>
          </cell>
          <cell r="V32">
            <v>68.3</v>
          </cell>
          <cell r="X32" t="str">
            <v>-</v>
          </cell>
        </row>
        <row r="33">
          <cell r="C33">
            <v>560</v>
          </cell>
          <cell r="D33">
            <v>11</v>
          </cell>
          <cell r="F33">
            <v>13.7</v>
          </cell>
          <cell r="H33">
            <v>17.2</v>
          </cell>
          <cell r="J33">
            <v>21.4</v>
          </cell>
          <cell r="L33">
            <v>26.7</v>
          </cell>
          <cell r="N33">
            <v>33.200000000000003</v>
          </cell>
          <cell r="P33">
            <v>41.2</v>
          </cell>
          <cell r="R33">
            <v>50.8</v>
          </cell>
          <cell r="T33">
            <v>62.5</v>
          </cell>
          <cell r="V33" t="str">
            <v>-</v>
          </cell>
          <cell r="X33" t="str">
            <v>-</v>
          </cell>
        </row>
        <row r="34">
          <cell r="C34">
            <v>630</v>
          </cell>
          <cell r="D34">
            <v>12.3</v>
          </cell>
          <cell r="F34">
            <v>15.4</v>
          </cell>
          <cell r="H34">
            <v>19.3</v>
          </cell>
          <cell r="J34">
            <v>24.1</v>
          </cell>
          <cell r="L34">
            <v>30</v>
          </cell>
          <cell r="N34">
            <v>37.4</v>
          </cell>
          <cell r="P34">
            <v>46.3</v>
          </cell>
          <cell r="R34">
            <v>57.2</v>
          </cell>
          <cell r="T34" t="str">
            <v>-</v>
          </cell>
          <cell r="V34" t="str">
            <v>-</v>
          </cell>
          <cell r="X34" t="str">
            <v>-</v>
          </cell>
        </row>
        <row r="35">
          <cell r="H35" t="str">
            <v>SDR:standard dimention ratio</v>
          </cell>
          <cell r="L35" t="str">
            <v>en: Nominal thickness (mm)</v>
          </cell>
          <cell r="Q35" t="str">
            <v>DN: Outer Diameter (mm)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DI35"/>
  <sheetViews>
    <sheetView showGridLines="0" tabSelected="1" zoomScaleNormal="100" workbookViewId="0">
      <selection activeCell="Q8" sqref="Q8"/>
    </sheetView>
  </sheetViews>
  <sheetFormatPr defaultColWidth="6.75" defaultRowHeight="14.25" x14ac:dyDescent="0.2"/>
  <cols>
    <col min="1" max="1" width="5.75" style="1" customWidth="1"/>
    <col min="2" max="2" width="13.125" style="1" customWidth="1"/>
    <col min="3" max="13" width="11" style="1" customWidth="1"/>
    <col min="14" max="16384" width="6.75" style="1"/>
  </cols>
  <sheetData>
    <row r="1" spans="1:789" ht="10.5" customHeight="1" thickBot="1" x14ac:dyDescent="0.25"/>
    <row r="2" spans="1:789" s="40" customFormat="1" ht="49.5" hidden="1" customHeight="1" thickBot="1" x14ac:dyDescent="0.3">
      <c r="B2" s="73" t="str">
        <f>[1]HD_مرجع!$B$2</f>
        <v>PE PIPE for Water supply according to DIN 8074 / ISO 4427-2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5"/>
    </row>
    <row r="3" spans="1:789" s="40" customFormat="1" ht="58.5" customHeight="1" x14ac:dyDescent="0.25">
      <c r="B3" s="76" t="str">
        <f>[1]HD_مرجع!B3</f>
        <v>مشخصات لوله های آبرسانی بر اساس استاندارد INSO 14427-2 ( بوکان پایپ)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789" s="38" customFormat="1" ht="25.5" customHeight="1" x14ac:dyDescent="0.25">
      <c r="B4" s="39"/>
      <c r="C4" s="79" t="str">
        <f>[1]HD_مرجع!$B$4</f>
        <v>Nominal Pressure (PN) bar</v>
      </c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789" ht="17.25" customHeight="1" x14ac:dyDescent="0.2">
      <c r="B5" s="37">
        <f>[1]HD_مرجع!C5</f>
        <v>0</v>
      </c>
      <c r="C5" s="36" t="str">
        <f>[1]HD_مرجع!D5</f>
        <v xml:space="preserve"> PN2.5</v>
      </c>
      <c r="D5" s="36" t="str">
        <f>[1]HD_مرجع!F5</f>
        <v xml:space="preserve"> PN3.2</v>
      </c>
      <c r="E5" s="36" t="str">
        <f>[1]HD_مرجع!H5</f>
        <v xml:space="preserve"> PN4</v>
      </c>
      <c r="F5" s="36" t="str">
        <f>[1]HD_مرجع!J5</f>
        <v xml:space="preserve"> PN5</v>
      </c>
      <c r="G5" s="36" t="str">
        <f>[1]HD_مرجع!L5</f>
        <v xml:space="preserve"> PN6</v>
      </c>
      <c r="H5" s="36" t="str">
        <f>[1]HD_مرجع!N5</f>
        <v xml:space="preserve"> PN8</v>
      </c>
      <c r="I5" s="36" t="str">
        <f>[1]HD_مرجع!P5</f>
        <v xml:space="preserve"> PN10</v>
      </c>
      <c r="J5" s="36" t="str">
        <f>[1]HD_مرجع!R5</f>
        <v xml:space="preserve"> PN12.5</v>
      </c>
      <c r="K5" s="36" t="str">
        <f>[1]HD_مرجع!T5</f>
        <v xml:space="preserve"> PN16</v>
      </c>
      <c r="L5" s="36" t="str">
        <f>[1]HD_مرجع!V5</f>
        <v>PN20</v>
      </c>
      <c r="M5" s="35" t="str">
        <f>[1]HD_مرجع!X5</f>
        <v>PN25</v>
      </c>
    </row>
    <row r="6" spans="1:789" ht="17.25" customHeight="1" x14ac:dyDescent="0.2">
      <c r="B6" s="34">
        <f>[1]HD_مرجع!C6</f>
        <v>0</v>
      </c>
      <c r="C6" s="33" t="str">
        <f>[1]HD_مرجع!D6</f>
        <v>PN3.2</v>
      </c>
      <c r="D6" s="33" t="str">
        <f>[1]HD_مرجع!F6</f>
        <v>PN4</v>
      </c>
      <c r="E6" s="33" t="str">
        <f>[1]HD_مرجع!H6</f>
        <v>PN5</v>
      </c>
      <c r="F6" s="33" t="str">
        <f>[1]HD_مرجع!J6</f>
        <v>PN6</v>
      </c>
      <c r="G6" s="33" t="str">
        <f>[1]HD_مرجع!L6</f>
        <v>PN8</v>
      </c>
      <c r="H6" s="33" t="str">
        <f>[1]HD_مرجع!N6</f>
        <v>PN10</v>
      </c>
      <c r="I6" s="33" t="str">
        <f>[1]HD_مرجع!P6</f>
        <v>PN12.5</v>
      </c>
      <c r="J6" s="33" t="str">
        <f>[1]HD_مرجع!R6</f>
        <v>PN16</v>
      </c>
      <c r="K6" s="33" t="str">
        <f>[1]HD_مرجع!T6</f>
        <v>PN20</v>
      </c>
      <c r="L6" s="33" t="str">
        <f>[1]HD_مرجع!V6</f>
        <v>PN25</v>
      </c>
      <c r="M6" s="32" t="str">
        <f>[1]HD_مرجع!X6</f>
        <v>-</v>
      </c>
    </row>
    <row r="7" spans="1:789" ht="17.25" customHeight="1" x14ac:dyDescent="0.6">
      <c r="B7" s="31">
        <f>[1]HD_مرجع!$C$7</f>
        <v>0</v>
      </c>
      <c r="C7" s="30">
        <f>[1]HD_مرجع!D7</f>
        <v>51</v>
      </c>
      <c r="D7" s="30">
        <f>[1]HD_مرجع!F7</f>
        <v>41</v>
      </c>
      <c r="E7" s="30">
        <f>[1]HD_مرجع!H7</f>
        <v>33</v>
      </c>
      <c r="F7" s="30">
        <f>[1]HD_مرجع!J7</f>
        <v>26</v>
      </c>
      <c r="G7" s="30">
        <f>[1]HD_مرجع!L7</f>
        <v>21</v>
      </c>
      <c r="H7" s="30">
        <f>[1]HD_مرجع!N7</f>
        <v>17</v>
      </c>
      <c r="I7" s="30">
        <f>[1]HD_مرجع!P7</f>
        <v>13.6</v>
      </c>
      <c r="J7" s="30">
        <f>[1]HD_مرجع!R7</f>
        <v>11</v>
      </c>
      <c r="K7" s="30">
        <f>[1]HD_مرجع!T7</f>
        <v>9</v>
      </c>
      <c r="L7" s="30">
        <f>[1]HD_مرجع!V7</f>
        <v>7.4</v>
      </c>
      <c r="M7" s="29">
        <f>[1]HD_مرجع!X7</f>
        <v>6</v>
      </c>
      <c r="P7" s="28"/>
      <c r="Q7" s="28"/>
      <c r="R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789" ht="16.5" customHeight="1" x14ac:dyDescent="0.2">
      <c r="B8" s="27">
        <f>[1]HD_مرجع!C8</f>
        <v>0</v>
      </c>
      <c r="C8" s="26" t="s">
        <v>1</v>
      </c>
      <c r="D8" s="26" t="s">
        <v>1</v>
      </c>
      <c r="E8" s="26" t="s">
        <v>1</v>
      </c>
      <c r="F8" s="26" t="s">
        <v>1</v>
      </c>
      <c r="G8" s="26" t="s">
        <v>1</v>
      </c>
      <c r="H8" s="26" t="s">
        <v>1</v>
      </c>
      <c r="I8" s="26" t="s">
        <v>1</v>
      </c>
      <c r="J8" s="26" t="s">
        <v>1</v>
      </c>
      <c r="K8" s="26" t="s">
        <v>1</v>
      </c>
      <c r="L8" s="26" t="s">
        <v>1</v>
      </c>
      <c r="M8" s="25" t="s">
        <v>1</v>
      </c>
    </row>
    <row r="9" spans="1:789" s="4" customFormat="1" ht="13.5" customHeight="1" x14ac:dyDescent="0.2">
      <c r="A9" s="1"/>
      <c r="B9" s="24">
        <f>[1]HD_مرجع!C10</f>
        <v>16</v>
      </c>
      <c r="C9" s="23" t="str">
        <f>[1]HD_مرجع!D10</f>
        <v>-</v>
      </c>
      <c r="D9" s="23" t="str">
        <f>[1]HD_مرجع!F10</f>
        <v>-</v>
      </c>
      <c r="E9" s="23" t="str">
        <f>[1]HD_مرجع!H10</f>
        <v>-</v>
      </c>
      <c r="F9" s="23" t="str">
        <f>[1]HD_مرجع!J10</f>
        <v>-</v>
      </c>
      <c r="G9" s="23" t="str">
        <f>[1]HD_مرجع!L10</f>
        <v>-</v>
      </c>
      <c r="H9" s="23" t="str">
        <f>[1]HD_مرجع!N10</f>
        <v>-</v>
      </c>
      <c r="I9" s="23" t="str">
        <f>[1]HD_مرجع!P10</f>
        <v>-</v>
      </c>
      <c r="J9" s="23" t="str">
        <f>[1]HD_مرجع!R10</f>
        <v>-</v>
      </c>
      <c r="K9" s="23">
        <f>[1]HD_مرجع!T10</f>
        <v>2</v>
      </c>
      <c r="L9" s="22">
        <f>[1]HD_مرجع!V10</f>
        <v>2.2999999999999998</v>
      </c>
      <c r="M9" s="21">
        <f>[1]HD_مرجع!X10</f>
        <v>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</row>
    <row r="10" spans="1:789" ht="13.5" customHeight="1" x14ac:dyDescent="0.2">
      <c r="B10" s="20">
        <f>[1]HD_مرجع!C11</f>
        <v>20</v>
      </c>
      <c r="C10" s="19" t="str">
        <f>[1]HD_مرجع!D11</f>
        <v>-</v>
      </c>
      <c r="D10" s="19" t="str">
        <f>[1]HD_مرجع!F11</f>
        <v>-</v>
      </c>
      <c r="E10" s="19" t="str">
        <f>[1]HD_مرجع!H11</f>
        <v>-</v>
      </c>
      <c r="F10" s="19" t="str">
        <f>[1]HD_مرجع!J11</f>
        <v>-</v>
      </c>
      <c r="G10" s="19" t="str">
        <f>[1]HD_مرجع!L11</f>
        <v>-</v>
      </c>
      <c r="H10" s="19" t="str">
        <f>[1]HD_مرجع!N11</f>
        <v>-</v>
      </c>
      <c r="I10" s="19" t="str">
        <f>[1]HD_مرجع!P11</f>
        <v>-</v>
      </c>
      <c r="J10" s="13">
        <f>[1]HD_مرجع!R11</f>
        <v>2</v>
      </c>
      <c r="K10" s="13">
        <f>[1]HD_مرجع!T11</f>
        <v>2.2999999999999998</v>
      </c>
      <c r="L10" s="17">
        <f>[1]HD_مرجع!V11</f>
        <v>3</v>
      </c>
      <c r="M10" s="18">
        <f>[1]HD_مرجع!X11</f>
        <v>3.4</v>
      </c>
    </row>
    <row r="11" spans="1:789" s="4" customFormat="1" ht="13.5" customHeight="1" x14ac:dyDescent="0.2">
      <c r="A11" s="1"/>
      <c r="B11" s="16">
        <f>[1]HD_مرجع!C12</f>
        <v>25</v>
      </c>
      <c r="C11" s="15" t="str">
        <f>[1]HD_مرجع!D12</f>
        <v>-</v>
      </c>
      <c r="D11" s="15" t="str">
        <f>[1]HD_مرجع!F12</f>
        <v>-</v>
      </c>
      <c r="E11" s="15" t="str">
        <f>[1]HD_مرجع!H12</f>
        <v>-</v>
      </c>
      <c r="F11" s="15" t="str">
        <f>[1]HD_مرجع!J12</f>
        <v>-</v>
      </c>
      <c r="G11" s="61">
        <f>[1]HD_مرجع!L12</f>
        <v>1.5</v>
      </c>
      <c r="H11" s="15">
        <f>[1]HD_مرجع!N12</f>
        <v>1.8</v>
      </c>
      <c r="I11" s="15">
        <f>[1]HD_مرجع!P12</f>
        <v>2</v>
      </c>
      <c r="J11" s="15">
        <f>[1]HD_مرجع!R12</f>
        <v>2.2999999999999998</v>
      </c>
      <c r="K11" s="15">
        <f>[1]HD_مرجع!T12</f>
        <v>3</v>
      </c>
      <c r="L11" s="11">
        <f>[1]HD_مرجع!V12</f>
        <v>3.5</v>
      </c>
      <c r="M11" s="10">
        <f>[1]HD_مرجع!X12</f>
        <v>4.2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</row>
    <row r="12" spans="1:789" ht="13.5" customHeight="1" x14ac:dyDescent="0.2">
      <c r="B12" s="14">
        <f>[1]HD_مرجع!C13</f>
        <v>32</v>
      </c>
      <c r="C12" s="15" t="str">
        <f>[1]HD_مرجع!D13</f>
        <v>-</v>
      </c>
      <c r="D12" s="15" t="str">
        <f>[1]HD_مرجع!F13</f>
        <v>-</v>
      </c>
      <c r="E12" s="15" t="str">
        <f>[1]HD_مرجع!H13</f>
        <v>-</v>
      </c>
      <c r="F12" s="15" t="str">
        <f>[1]HD_مرجع!J13</f>
        <v>-</v>
      </c>
      <c r="G12" s="15" t="str">
        <f>[1]HD_مرجع!L13</f>
        <v>-</v>
      </c>
      <c r="H12" s="13">
        <f>[1]HD_مرجع!N13</f>
        <v>2</v>
      </c>
      <c r="I12" s="13">
        <f>[1]HD_مرجع!P13</f>
        <v>2.4</v>
      </c>
      <c r="J12" s="13">
        <f>[1]HD_مرجع!R13</f>
        <v>3</v>
      </c>
      <c r="K12" s="13">
        <f>[1]HD_مرجع!T13</f>
        <v>3.6</v>
      </c>
      <c r="L12" s="17">
        <f>[1]HD_مرجع!V13</f>
        <v>4.4000000000000004</v>
      </c>
      <c r="M12" s="18">
        <f>[1]HD_مرجع!X13</f>
        <v>5.4</v>
      </c>
    </row>
    <row r="13" spans="1:789" s="4" customFormat="1" ht="13.5" customHeight="1" x14ac:dyDescent="0.2">
      <c r="A13" s="1"/>
      <c r="B13" s="16">
        <f>[1]HD_مرجع!C14</f>
        <v>40</v>
      </c>
      <c r="C13" s="15" t="str">
        <f>[1]HD_مرجع!D14</f>
        <v>-</v>
      </c>
      <c r="D13" s="15" t="str">
        <f>[1]HD_مرجع!F14</f>
        <v>-</v>
      </c>
      <c r="E13" s="15" t="str">
        <f>[1]HD_مرجع!H14</f>
        <v>-</v>
      </c>
      <c r="F13" s="15">
        <f>[1]HD_مرجع!J14</f>
        <v>1.8</v>
      </c>
      <c r="G13" s="15">
        <f>[1]HD_مرجع!L14</f>
        <v>2</v>
      </c>
      <c r="H13" s="15">
        <f>[1]HD_مرجع!N14</f>
        <v>2.4</v>
      </c>
      <c r="I13" s="15">
        <f>[1]HD_مرجع!P14</f>
        <v>3</v>
      </c>
      <c r="J13" s="15">
        <f>[1]HD_مرجع!R14</f>
        <v>3.7</v>
      </c>
      <c r="K13" s="15">
        <f>[1]HD_مرجع!T14</f>
        <v>4.5</v>
      </c>
      <c r="L13" s="11">
        <f>[1]HD_مرجع!V14</f>
        <v>5.5</v>
      </c>
      <c r="M13" s="10">
        <f>[1]HD_مرجع!X14</f>
        <v>6.7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</row>
    <row r="14" spans="1:789" ht="13.5" customHeight="1" x14ac:dyDescent="0.2">
      <c r="B14" s="14">
        <f>[1]HD_مرجع!C15</f>
        <v>50</v>
      </c>
      <c r="C14" s="15" t="str">
        <f>[1]HD_مرجع!D15</f>
        <v>-</v>
      </c>
      <c r="D14" s="15" t="str">
        <f>[1]HD_مرجع!F15</f>
        <v>-</v>
      </c>
      <c r="E14" s="13">
        <f>[1]HD_مرجع!H15</f>
        <v>1.8</v>
      </c>
      <c r="F14" s="13">
        <f>[1]HD_مرجع!J15</f>
        <v>2</v>
      </c>
      <c r="G14" s="13">
        <f>[1]HD_مرجع!L15</f>
        <v>2.4</v>
      </c>
      <c r="H14" s="13">
        <f>[1]HD_مرجع!N15</f>
        <v>3</v>
      </c>
      <c r="I14" s="13">
        <f>[1]HD_مرجع!P15</f>
        <v>3.7</v>
      </c>
      <c r="J14" s="13">
        <f>[1]HD_مرجع!R15</f>
        <v>4.5999999999999996</v>
      </c>
      <c r="K14" s="13">
        <f>[1]HD_مرجع!T15</f>
        <v>5.6</v>
      </c>
      <c r="L14" s="17">
        <f>[1]HD_مرجع!V15</f>
        <v>6.9</v>
      </c>
      <c r="M14" s="18">
        <f>[1]HD_مرجع!X15</f>
        <v>8.3000000000000007</v>
      </c>
    </row>
    <row r="15" spans="1:789" s="4" customFormat="1" ht="13.5" customHeight="1" x14ac:dyDescent="0.2">
      <c r="A15" s="1"/>
      <c r="B15" s="16">
        <f>[1]HD_مرجع!C16</f>
        <v>63</v>
      </c>
      <c r="C15" s="15" t="s">
        <v>0</v>
      </c>
      <c r="D15" s="15">
        <f>[1]HD_مرجع!F16</f>
        <v>1.8</v>
      </c>
      <c r="E15" s="15">
        <f>[1]HD_مرجع!H16</f>
        <v>2</v>
      </c>
      <c r="F15" s="15">
        <f>[1]HD_مرجع!J16</f>
        <v>2.5</v>
      </c>
      <c r="G15" s="15">
        <f>[1]HD_مرجع!L16</f>
        <v>3</v>
      </c>
      <c r="H15" s="15">
        <f>[1]HD_مرجع!N16</f>
        <v>3.8</v>
      </c>
      <c r="I15" s="15">
        <f>[1]HD_مرجع!P16</f>
        <v>4.7</v>
      </c>
      <c r="J15" s="15">
        <f>[1]HD_مرجع!R16</f>
        <v>5.8</v>
      </c>
      <c r="K15" s="15">
        <f>[1]HD_مرجع!T16</f>
        <v>7.1</v>
      </c>
      <c r="L15" s="11">
        <f>[1]HD_مرجع!V16</f>
        <v>8.6</v>
      </c>
      <c r="M15" s="10">
        <f>[1]HD_مرجع!X16</f>
        <v>10.5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</row>
    <row r="16" spans="1:789" ht="13.5" customHeight="1" x14ac:dyDescent="0.2">
      <c r="B16" s="14">
        <f>[1]HD_مرجع!C17</f>
        <v>75</v>
      </c>
      <c r="C16" s="13">
        <f>[1]HD_مرجع!D17</f>
        <v>1.8</v>
      </c>
      <c r="D16" s="13">
        <f>[1]HD_مرجع!F17</f>
        <v>2</v>
      </c>
      <c r="E16" s="13">
        <f>[1]HD_مرجع!H17</f>
        <v>2.2999999999999998</v>
      </c>
      <c r="F16" s="13">
        <f>[1]HD_مرجع!J17</f>
        <v>2.9</v>
      </c>
      <c r="G16" s="13">
        <f>[1]HD_مرجع!L17</f>
        <v>3.6</v>
      </c>
      <c r="H16" s="13">
        <f>[1]HD_مرجع!N17</f>
        <v>4.5</v>
      </c>
      <c r="I16" s="13">
        <f>[1]HD_مرجع!P17</f>
        <v>5.6</v>
      </c>
      <c r="J16" s="13">
        <f>[1]HD_مرجع!R17</f>
        <v>6.8</v>
      </c>
      <c r="K16" s="13">
        <f>[1]HD_مرجع!T17</f>
        <v>8.4</v>
      </c>
      <c r="L16" s="17">
        <f>[1]HD_مرجع!V17</f>
        <v>10.3</v>
      </c>
      <c r="M16" s="18">
        <f>[1]HD_مرجع!X17</f>
        <v>12.5</v>
      </c>
    </row>
    <row r="17" spans="1:789" s="4" customFormat="1" ht="13.5" customHeight="1" x14ac:dyDescent="0.2">
      <c r="A17" s="1"/>
      <c r="B17" s="16">
        <f>[1]HD_مرجع!C18</f>
        <v>90</v>
      </c>
      <c r="C17" s="15">
        <f>[1]HD_مرجع!D18</f>
        <v>1.8</v>
      </c>
      <c r="D17" s="15">
        <f>[1]HD_مرجع!F18</f>
        <v>2.2000000000000002</v>
      </c>
      <c r="E17" s="15">
        <f>[1]HD_مرجع!H18</f>
        <v>2.8</v>
      </c>
      <c r="F17" s="15">
        <f>[1]HD_مرجع!J18</f>
        <v>3.5</v>
      </c>
      <c r="G17" s="15">
        <f>[1]HD_مرجع!L18</f>
        <v>4.3</v>
      </c>
      <c r="H17" s="15">
        <f>[1]HD_مرجع!N18</f>
        <v>5.4</v>
      </c>
      <c r="I17" s="15">
        <f>[1]HD_مرجع!P18</f>
        <v>6.7</v>
      </c>
      <c r="J17" s="15">
        <f>[1]HD_مرجع!R18</f>
        <v>8.1999999999999993</v>
      </c>
      <c r="K17" s="15">
        <f>[1]HD_مرجع!T18</f>
        <v>10.1</v>
      </c>
      <c r="L17" s="11">
        <f>[1]HD_مرجع!V18</f>
        <v>12.3</v>
      </c>
      <c r="M17" s="10">
        <f>[1]HD_مرجع!X18</f>
        <v>15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</row>
    <row r="18" spans="1:789" ht="13.5" customHeight="1" x14ac:dyDescent="0.2">
      <c r="B18" s="14">
        <f>[1]HD_مرجع!C19</f>
        <v>110</v>
      </c>
      <c r="C18" s="13">
        <f>[1]HD_مرجع!D19</f>
        <v>2.2000000000000002</v>
      </c>
      <c r="D18" s="13">
        <f>[1]HD_مرجع!F19</f>
        <v>2.7</v>
      </c>
      <c r="E18" s="13">
        <f>[1]HD_مرجع!H19</f>
        <v>3.4</v>
      </c>
      <c r="F18" s="13">
        <f>[1]HD_مرجع!J19</f>
        <v>4.2</v>
      </c>
      <c r="G18" s="13">
        <f>[1]HD_مرجع!L19</f>
        <v>5.3</v>
      </c>
      <c r="H18" s="13">
        <f>[1]HD_مرجع!N19</f>
        <v>6.6</v>
      </c>
      <c r="I18" s="13">
        <f>[1]HD_مرجع!P19</f>
        <v>8.1</v>
      </c>
      <c r="J18" s="13">
        <f>[1]HD_مرجع!R19</f>
        <v>10</v>
      </c>
      <c r="K18" s="13">
        <f>[1]HD_مرجع!T19</f>
        <v>12.3</v>
      </c>
      <c r="L18" s="17">
        <f>[1]HD_مرجع!V19</f>
        <v>15.1</v>
      </c>
      <c r="M18" s="18">
        <f>[1]HD_مرجع!X19</f>
        <v>18.3</v>
      </c>
    </row>
    <row r="19" spans="1:789" s="4" customFormat="1" ht="13.5" customHeight="1" x14ac:dyDescent="0.2">
      <c r="A19" s="1"/>
      <c r="B19" s="16">
        <f>[1]HD_مرجع!C20</f>
        <v>125</v>
      </c>
      <c r="C19" s="15">
        <f>[1]HD_مرجع!D20</f>
        <v>2.5</v>
      </c>
      <c r="D19" s="15">
        <f>[1]HD_مرجع!F20</f>
        <v>3.1</v>
      </c>
      <c r="E19" s="15">
        <f>[1]HD_مرجع!H20</f>
        <v>3.9</v>
      </c>
      <c r="F19" s="15">
        <f>[1]HD_مرجع!J20</f>
        <v>4.8</v>
      </c>
      <c r="G19" s="15">
        <f>[1]HD_مرجع!L20</f>
        <v>6</v>
      </c>
      <c r="H19" s="15">
        <f>[1]HD_مرجع!N20</f>
        <v>7.4</v>
      </c>
      <c r="I19" s="15">
        <f>[1]HD_مرجع!P20</f>
        <v>9.1999999999999993</v>
      </c>
      <c r="J19" s="15">
        <f>[1]HD_مرجع!R20</f>
        <v>11.4</v>
      </c>
      <c r="K19" s="15">
        <f>[1]HD_مرجع!T20</f>
        <v>14</v>
      </c>
      <c r="L19" s="11">
        <f>[1]HD_مرجع!V20</f>
        <v>17.100000000000001</v>
      </c>
      <c r="M19" s="10">
        <f>[1]HD_مرجع!X20</f>
        <v>20.8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</row>
    <row r="20" spans="1:789" ht="13.5" customHeight="1" x14ac:dyDescent="0.2">
      <c r="B20" s="14">
        <f>[1]HD_مرجع!C21</f>
        <v>140</v>
      </c>
      <c r="C20" s="13">
        <f>[1]HD_مرجع!D21</f>
        <v>2.8</v>
      </c>
      <c r="D20" s="13">
        <f>[1]HD_مرجع!F21</f>
        <v>3.5</v>
      </c>
      <c r="E20" s="13">
        <f>[1]HD_مرجع!H21</f>
        <v>4.3</v>
      </c>
      <c r="F20" s="13">
        <f>[1]HD_مرجع!J21</f>
        <v>5.4</v>
      </c>
      <c r="G20" s="13">
        <f>[1]HD_مرجع!L21</f>
        <v>6.7</v>
      </c>
      <c r="H20" s="13">
        <f>[1]HD_مرجع!N21</f>
        <v>8.3000000000000007</v>
      </c>
      <c r="I20" s="13">
        <f>[1]HD_مرجع!P21</f>
        <v>10.3</v>
      </c>
      <c r="J20" s="13">
        <f>[1]HD_مرجع!R21</f>
        <v>12.7</v>
      </c>
      <c r="K20" s="13">
        <f>[1]HD_مرجع!T21</f>
        <v>15.7</v>
      </c>
      <c r="L20" s="17">
        <f>[1]HD_مرجع!V21</f>
        <v>19.2</v>
      </c>
      <c r="M20" s="18">
        <f>[1]HD_مرجع!X21</f>
        <v>23.3</v>
      </c>
    </row>
    <row r="21" spans="1:789" s="4" customFormat="1" ht="13.5" customHeight="1" x14ac:dyDescent="0.2">
      <c r="A21" s="1"/>
      <c r="B21" s="16">
        <f>[1]HD_مرجع!C22</f>
        <v>160</v>
      </c>
      <c r="C21" s="15">
        <f>[1]HD_مرجع!D22</f>
        <v>3.2</v>
      </c>
      <c r="D21" s="15">
        <f>[1]HD_مرجع!F22</f>
        <v>4</v>
      </c>
      <c r="E21" s="15">
        <f>[1]HD_مرجع!H22</f>
        <v>4.9000000000000004</v>
      </c>
      <c r="F21" s="15">
        <f>[1]HD_مرجع!J22</f>
        <v>6.2</v>
      </c>
      <c r="G21" s="15">
        <f>[1]HD_مرجع!L22</f>
        <v>7.7</v>
      </c>
      <c r="H21" s="15">
        <f>[1]HD_مرجع!N22</f>
        <v>9.5</v>
      </c>
      <c r="I21" s="15">
        <f>[1]HD_مرجع!P22</f>
        <v>11.8</v>
      </c>
      <c r="J21" s="15">
        <f>[1]HD_مرجع!R22</f>
        <v>14.6</v>
      </c>
      <c r="K21" s="15">
        <f>[1]HD_مرجع!T22</f>
        <v>17.899999999999999</v>
      </c>
      <c r="L21" s="11">
        <f>[1]HD_مرجع!V22</f>
        <v>21.9</v>
      </c>
      <c r="M21" s="10">
        <f>[1]HD_مرجع!X22</f>
        <v>26.6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</row>
    <row r="22" spans="1:789" ht="13.5" customHeight="1" x14ac:dyDescent="0.2">
      <c r="B22" s="14">
        <f>[1]HD_مرجع!C23</f>
        <v>180</v>
      </c>
      <c r="C22" s="13">
        <f>[1]HD_مرجع!D23</f>
        <v>3.6</v>
      </c>
      <c r="D22" s="13">
        <f>[1]HD_مرجع!F23</f>
        <v>4.4000000000000004</v>
      </c>
      <c r="E22" s="13">
        <f>[1]HD_مرجع!H23</f>
        <v>5.5</v>
      </c>
      <c r="F22" s="13">
        <f>[1]HD_مرجع!J23</f>
        <v>6.9</v>
      </c>
      <c r="G22" s="13">
        <f>[1]HD_مرجع!L23</f>
        <v>8.6</v>
      </c>
      <c r="H22" s="13">
        <f>[1]HD_مرجع!N23</f>
        <v>10.7</v>
      </c>
      <c r="I22" s="13">
        <f>[1]HD_مرجع!P23</f>
        <v>13.3</v>
      </c>
      <c r="J22" s="13">
        <f>[1]HD_مرجع!R23</f>
        <v>16.399999999999999</v>
      </c>
      <c r="K22" s="13">
        <f>[1]HD_مرجع!T23</f>
        <v>20.100000000000001</v>
      </c>
      <c r="L22" s="17">
        <f>[1]HD_مرجع!V23</f>
        <v>24.6</v>
      </c>
      <c r="M22" s="18">
        <f>[1]HD_مرجع!X23</f>
        <v>29.9</v>
      </c>
    </row>
    <row r="23" spans="1:789" s="4" customFormat="1" ht="13.5" customHeight="1" x14ac:dyDescent="0.2">
      <c r="A23" s="1"/>
      <c r="B23" s="16">
        <f>[1]HD_مرجع!C24</f>
        <v>200</v>
      </c>
      <c r="C23" s="15">
        <f>[1]HD_مرجع!D24</f>
        <v>3.9</v>
      </c>
      <c r="D23" s="15">
        <f>[1]HD_مرجع!F24</f>
        <v>4.9000000000000004</v>
      </c>
      <c r="E23" s="15">
        <f>[1]HD_مرجع!H24</f>
        <v>6.2</v>
      </c>
      <c r="F23" s="15">
        <f>[1]HD_مرجع!J24</f>
        <v>7.7</v>
      </c>
      <c r="G23" s="15">
        <f>[1]HD_مرجع!L24</f>
        <v>9.6</v>
      </c>
      <c r="H23" s="15">
        <f>[1]HD_مرجع!N24</f>
        <v>11.9</v>
      </c>
      <c r="I23" s="15">
        <f>[1]HD_مرجع!P24</f>
        <v>14.7</v>
      </c>
      <c r="J23" s="15">
        <f>[1]HD_مرجع!R24</f>
        <v>18.2</v>
      </c>
      <c r="K23" s="15">
        <f>[1]HD_مرجع!T24</f>
        <v>22.4</v>
      </c>
      <c r="L23" s="11">
        <f>[1]HD_مرجع!V24</f>
        <v>27.4</v>
      </c>
      <c r="M23" s="10">
        <f>[1]HD_مرجع!X24</f>
        <v>33.200000000000003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</row>
    <row r="24" spans="1:789" ht="13.5" customHeight="1" x14ac:dyDescent="0.2">
      <c r="B24" s="14">
        <f>[1]HD_مرجع!C25</f>
        <v>225</v>
      </c>
      <c r="C24" s="13">
        <f>[1]HD_مرجع!D25</f>
        <v>4.4000000000000004</v>
      </c>
      <c r="D24" s="13">
        <f>[1]HD_مرجع!F25</f>
        <v>5.5</v>
      </c>
      <c r="E24" s="13">
        <f>[1]HD_مرجع!H25</f>
        <v>6.9</v>
      </c>
      <c r="F24" s="13">
        <f>[1]HD_مرجع!J25</f>
        <v>8.6</v>
      </c>
      <c r="G24" s="13">
        <f>[1]HD_مرجع!L25</f>
        <v>10.8</v>
      </c>
      <c r="H24" s="13">
        <f>[1]HD_مرجع!N25</f>
        <v>13.4</v>
      </c>
      <c r="I24" s="13">
        <f>[1]HD_مرجع!P25</f>
        <v>16.600000000000001</v>
      </c>
      <c r="J24" s="13">
        <f>[1]HD_مرجع!R25</f>
        <v>20.5</v>
      </c>
      <c r="K24" s="13">
        <f>[1]HD_مرجع!T25</f>
        <v>25.2</v>
      </c>
      <c r="L24" s="17">
        <f>[1]HD_مرجع!V25</f>
        <v>30.8</v>
      </c>
      <c r="M24" s="18">
        <f>[1]HD_مرجع!X25</f>
        <v>37.4</v>
      </c>
    </row>
    <row r="25" spans="1:789" s="4" customFormat="1" ht="13.5" customHeight="1" x14ac:dyDescent="0.2">
      <c r="A25" s="1"/>
      <c r="B25" s="16">
        <f>[1]HD_مرجع!C26</f>
        <v>250</v>
      </c>
      <c r="C25" s="15">
        <f>[1]HD_مرجع!D26</f>
        <v>4.9000000000000004</v>
      </c>
      <c r="D25" s="15">
        <f>[1]HD_مرجع!F26</f>
        <v>6.2</v>
      </c>
      <c r="E25" s="15">
        <f>[1]HD_مرجع!H26</f>
        <v>7.7</v>
      </c>
      <c r="F25" s="15">
        <f>[1]HD_مرجع!J26</f>
        <v>9.6</v>
      </c>
      <c r="G25" s="15">
        <f>[1]HD_مرجع!L26</f>
        <v>11.9</v>
      </c>
      <c r="H25" s="15">
        <f>[1]HD_مرجع!N26</f>
        <v>14.8</v>
      </c>
      <c r="I25" s="15">
        <f>[1]HD_مرجع!P26</f>
        <v>18.399999999999999</v>
      </c>
      <c r="J25" s="15">
        <f>[1]HD_مرجع!R26</f>
        <v>22.7</v>
      </c>
      <c r="K25" s="15">
        <f>[1]HD_مرجع!T26</f>
        <v>27.9</v>
      </c>
      <c r="L25" s="11">
        <f>[1]HD_مرجع!V26</f>
        <v>34.200000000000003</v>
      </c>
      <c r="M25" s="10">
        <f>[1]HD_مرجع!X26</f>
        <v>41.6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</row>
    <row r="26" spans="1:789" ht="13.5" customHeight="1" x14ac:dyDescent="0.2">
      <c r="B26" s="14">
        <f>[1]HD_مرجع!C27</f>
        <v>280</v>
      </c>
      <c r="C26" s="13">
        <f>[1]HD_مرجع!D27</f>
        <v>5.5</v>
      </c>
      <c r="D26" s="13">
        <f>[1]HD_مرجع!F27</f>
        <v>6.9</v>
      </c>
      <c r="E26" s="13">
        <f>[1]HD_مرجع!H27</f>
        <v>8.6</v>
      </c>
      <c r="F26" s="13">
        <f>[1]HD_مرجع!J27</f>
        <v>10.7</v>
      </c>
      <c r="G26" s="13">
        <f>[1]HD_مرجع!L27</f>
        <v>13.4</v>
      </c>
      <c r="H26" s="13">
        <f>[1]HD_مرجع!N27</f>
        <v>16.600000000000001</v>
      </c>
      <c r="I26" s="13">
        <f>[1]HD_مرجع!P27</f>
        <v>20.6</v>
      </c>
      <c r="J26" s="13">
        <f>[1]HD_مرجع!R27</f>
        <v>25.4</v>
      </c>
      <c r="K26" s="13">
        <f>[1]HD_مرجع!T27</f>
        <v>31.3</v>
      </c>
      <c r="L26" s="17">
        <f>[1]HD_مرجع!V27</f>
        <v>38.299999999999997</v>
      </c>
      <c r="M26" s="18">
        <f>[1]HD_مرجع!X27</f>
        <v>46.5</v>
      </c>
    </row>
    <row r="27" spans="1:789" s="4" customFormat="1" ht="13.5" customHeight="1" x14ac:dyDescent="0.2">
      <c r="A27" s="1"/>
      <c r="B27" s="16">
        <f>[1]HD_مرجع!C28</f>
        <v>315</v>
      </c>
      <c r="C27" s="15">
        <f>[1]HD_مرجع!D28</f>
        <v>6.2</v>
      </c>
      <c r="D27" s="15">
        <f>[1]HD_مرجع!F28</f>
        <v>7.7</v>
      </c>
      <c r="E27" s="15">
        <f>[1]HD_مرجع!H28</f>
        <v>9.6999999999999993</v>
      </c>
      <c r="F27" s="15">
        <f>[1]HD_مرجع!J28</f>
        <v>12.1</v>
      </c>
      <c r="G27" s="15">
        <f>[1]HD_مرجع!L28</f>
        <v>15</v>
      </c>
      <c r="H27" s="15">
        <f>[1]HD_مرجع!N28</f>
        <v>18.7</v>
      </c>
      <c r="I27" s="15">
        <f>[1]HD_مرجع!P28</f>
        <v>23.2</v>
      </c>
      <c r="J27" s="15">
        <f>[1]HD_مرجع!R28</f>
        <v>28.6</v>
      </c>
      <c r="K27" s="15">
        <f>[1]HD_مرجع!T28</f>
        <v>35.200000000000003</v>
      </c>
      <c r="L27" s="11">
        <f>[1]HD_مرجع!V28</f>
        <v>43.1</v>
      </c>
      <c r="M27" s="10">
        <f>[1]HD_مرجع!X28</f>
        <v>52.3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</row>
    <row r="28" spans="1:789" ht="13.5" customHeight="1" x14ac:dyDescent="0.2">
      <c r="B28" s="14">
        <f>[1]HD_مرجع!C29</f>
        <v>355</v>
      </c>
      <c r="C28" s="13">
        <f>[1]HD_مرجع!D29</f>
        <v>7</v>
      </c>
      <c r="D28" s="13">
        <f>[1]HD_مرجع!F29</f>
        <v>8.6999999999999993</v>
      </c>
      <c r="E28" s="13">
        <f>[1]HD_مرجع!H29</f>
        <v>10.9</v>
      </c>
      <c r="F28" s="13">
        <f>[1]HD_مرجع!J29</f>
        <v>13.6</v>
      </c>
      <c r="G28" s="13">
        <f>[1]HD_مرجع!L29</f>
        <v>16.899999999999999</v>
      </c>
      <c r="H28" s="13">
        <f>[1]HD_مرجع!N29</f>
        <v>21.1</v>
      </c>
      <c r="I28" s="13">
        <f>[1]HD_مرجع!P29</f>
        <v>26.1</v>
      </c>
      <c r="J28" s="13">
        <f>[1]HD_مرجع!R29</f>
        <v>32.200000000000003</v>
      </c>
      <c r="K28" s="13">
        <f>[1]HD_مرجع!T29</f>
        <v>39.700000000000003</v>
      </c>
      <c r="L28" s="17">
        <f>[1]HD_مرجع!V29</f>
        <v>48.5</v>
      </c>
      <c r="M28" s="18">
        <f>[1]HD_مرجع!X29</f>
        <v>59</v>
      </c>
    </row>
    <row r="29" spans="1:789" s="4" customFormat="1" ht="13.5" customHeight="1" x14ac:dyDescent="0.2">
      <c r="A29" s="1"/>
      <c r="B29" s="16">
        <f>[1]HD_مرجع!C30</f>
        <v>400</v>
      </c>
      <c r="C29" s="15">
        <f>[1]HD_مرجع!D30</f>
        <v>7.9</v>
      </c>
      <c r="D29" s="15">
        <f>[1]HD_مرجع!F30</f>
        <v>9.8000000000000007</v>
      </c>
      <c r="E29" s="15">
        <f>[1]HD_مرجع!H30</f>
        <v>12.3</v>
      </c>
      <c r="F29" s="15">
        <f>[1]HD_مرجع!J30</f>
        <v>15.3</v>
      </c>
      <c r="G29" s="15">
        <f>[1]HD_مرجع!L30</f>
        <v>19.100000000000001</v>
      </c>
      <c r="H29" s="15">
        <f>[1]HD_مرجع!N30</f>
        <v>23.7</v>
      </c>
      <c r="I29" s="15">
        <f>[1]HD_مرجع!P30</f>
        <v>29.4</v>
      </c>
      <c r="J29" s="15">
        <f>[1]HD_مرجع!R30</f>
        <v>36.299999999999997</v>
      </c>
      <c r="K29" s="15">
        <f>[1]HD_مرجع!T30</f>
        <v>44.7</v>
      </c>
      <c r="L29" s="11">
        <f>[1]HD_مرجع!V30</f>
        <v>54.7</v>
      </c>
      <c r="M29" s="10">
        <f>[1]HD_مرجع!X30</f>
        <v>66.5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</row>
    <row r="30" spans="1:789" ht="13.5" customHeight="1" x14ac:dyDescent="0.2">
      <c r="B30" s="14">
        <f>[1]HD_مرجع!C31</f>
        <v>450</v>
      </c>
      <c r="C30" s="13">
        <f>[1]HD_مرجع!D31</f>
        <v>8.8000000000000007</v>
      </c>
      <c r="D30" s="13">
        <f>[1]HD_مرجع!F31</f>
        <v>11</v>
      </c>
      <c r="E30" s="13">
        <f>[1]HD_مرجع!H31</f>
        <v>13.8</v>
      </c>
      <c r="F30" s="13">
        <f>[1]HD_مرجع!J31</f>
        <v>17.2</v>
      </c>
      <c r="G30" s="13">
        <f>[1]HD_مرجع!L31</f>
        <v>21.5</v>
      </c>
      <c r="H30" s="13">
        <f>[1]HD_مرجع!N31</f>
        <v>26.7</v>
      </c>
      <c r="I30" s="13">
        <f>[1]HD_مرجع!P31</f>
        <v>33.1</v>
      </c>
      <c r="J30" s="13">
        <f>[1]HD_مرجع!R31</f>
        <v>40.9</v>
      </c>
      <c r="K30" s="13">
        <f>[1]HD_مرجع!T31</f>
        <v>50.3</v>
      </c>
      <c r="L30" s="17">
        <f>[1]HD_مرجع!V31</f>
        <v>61.5</v>
      </c>
      <c r="M30" s="10" t="str">
        <f>[1]HD_مرجع!X31</f>
        <v>-</v>
      </c>
    </row>
    <row r="31" spans="1:789" s="4" customFormat="1" ht="13.5" customHeight="1" x14ac:dyDescent="0.2">
      <c r="A31" s="1"/>
      <c r="B31" s="16">
        <f>[1]HD_مرجع!C32</f>
        <v>500</v>
      </c>
      <c r="C31" s="15">
        <f>[1]HD_مرجع!D32</f>
        <v>9.8000000000000007</v>
      </c>
      <c r="D31" s="15">
        <f>[1]HD_مرجع!F32</f>
        <v>12.3</v>
      </c>
      <c r="E31" s="15">
        <f>[1]HD_مرجع!H32</f>
        <v>15.3</v>
      </c>
      <c r="F31" s="15">
        <f>[1]HD_مرجع!J32</f>
        <v>19.100000000000001</v>
      </c>
      <c r="G31" s="15">
        <f>[1]HD_مرجع!L32</f>
        <v>23.9</v>
      </c>
      <c r="H31" s="15">
        <f>[1]HD_مرجع!N32</f>
        <v>29.7</v>
      </c>
      <c r="I31" s="15">
        <f>[1]HD_مرجع!P32</f>
        <v>36.799999999999997</v>
      </c>
      <c r="J31" s="15">
        <f>[1]HD_مرجع!R32</f>
        <v>45.4</v>
      </c>
      <c r="K31" s="15">
        <f>[1]HD_مرجع!T32</f>
        <v>55.8</v>
      </c>
      <c r="L31" s="11">
        <f>[1]HD_مرجع!V32</f>
        <v>68.3</v>
      </c>
      <c r="M31" s="10" t="str">
        <f>[1]HD_مرجع!X32</f>
        <v>-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</row>
    <row r="32" spans="1:789" ht="13.5" customHeight="1" x14ac:dyDescent="0.2">
      <c r="B32" s="14">
        <f>[1]HD_مرجع!C33</f>
        <v>560</v>
      </c>
      <c r="C32" s="13">
        <f>[1]HD_مرجع!D33</f>
        <v>11</v>
      </c>
      <c r="D32" s="13">
        <f>[1]HD_مرجع!F33</f>
        <v>13.7</v>
      </c>
      <c r="E32" s="13">
        <f>[1]HD_مرجع!H33</f>
        <v>17.2</v>
      </c>
      <c r="F32" s="13">
        <f>[1]HD_مرجع!J33</f>
        <v>21.4</v>
      </c>
      <c r="G32" s="13">
        <f>[1]HD_مرجع!L33</f>
        <v>26.7</v>
      </c>
      <c r="H32" s="13">
        <f>[1]HD_مرجع!N33</f>
        <v>33.200000000000003</v>
      </c>
      <c r="I32" s="13">
        <f>[1]HD_مرجع!P33</f>
        <v>41.2</v>
      </c>
      <c r="J32" s="13">
        <f>[1]HD_مرجع!R33</f>
        <v>50.8</v>
      </c>
      <c r="K32" s="12">
        <f>[1]HD_مرجع!T33</f>
        <v>62.5</v>
      </c>
      <c r="L32" s="11" t="str">
        <f>[1]HD_مرجع!V33</f>
        <v>-</v>
      </c>
      <c r="M32" s="10" t="str">
        <f>[1]HD_مرجع!X33</f>
        <v>-</v>
      </c>
    </row>
    <row r="33" spans="1:789" s="4" customFormat="1" ht="13.5" customHeight="1" x14ac:dyDescent="0.2">
      <c r="A33" s="1"/>
      <c r="B33" s="9">
        <f>[1]HD_مرجع!C34</f>
        <v>630</v>
      </c>
      <c r="C33" s="8">
        <f>[1]HD_مرجع!D34</f>
        <v>12.3</v>
      </c>
      <c r="D33" s="8">
        <f>[1]HD_مرجع!F34</f>
        <v>15.4</v>
      </c>
      <c r="E33" s="8">
        <f>[1]HD_مرجع!H34</f>
        <v>19.3</v>
      </c>
      <c r="F33" s="8">
        <f>[1]HD_مرجع!J34</f>
        <v>24.1</v>
      </c>
      <c r="G33" s="8">
        <f>[1]HD_مرجع!L34</f>
        <v>30</v>
      </c>
      <c r="H33" s="8">
        <f>[1]HD_مرجع!N34</f>
        <v>37.4</v>
      </c>
      <c r="I33" s="8">
        <f>[1]HD_مرجع!P34</f>
        <v>46.3</v>
      </c>
      <c r="J33" s="8">
        <f>[1]HD_مرجع!R34</f>
        <v>57.2</v>
      </c>
      <c r="K33" s="7" t="str">
        <f>[1]HD_مرجع!T34</f>
        <v>-</v>
      </c>
      <c r="L33" s="6" t="str">
        <f>[1]HD_مرجع!V34</f>
        <v>-</v>
      </c>
      <c r="M33" s="5" t="str">
        <f>[1]HD_مرجع!X34</f>
        <v>-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</row>
    <row r="34" spans="1:789" ht="15.75" customHeight="1" thickBot="1" x14ac:dyDescent="0.4">
      <c r="B34" s="82"/>
      <c r="C34" s="83"/>
      <c r="D34" s="83"/>
      <c r="E34" s="84" t="str">
        <f>[1]HD_مرجع!H35</f>
        <v>SDR:standard dimention ratio</v>
      </c>
      <c r="F34" s="84"/>
      <c r="G34" s="84" t="str">
        <f>[1]HD_مرجع!$L$35</f>
        <v>en: Nominal thickness (mm)</v>
      </c>
      <c r="H34" s="84"/>
      <c r="I34" s="84"/>
      <c r="J34" s="84" t="str">
        <f>[1]HD_مرجع!$Q$35</f>
        <v>DN: Outer Diameter (mm)</v>
      </c>
      <c r="K34" s="84"/>
      <c r="L34" s="84"/>
      <c r="M34" s="85"/>
    </row>
    <row r="35" spans="1:789" ht="5.25" customHeight="1" x14ac:dyDescent="0.2"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mergeCells count="8">
    <mergeCell ref="B2:M2"/>
    <mergeCell ref="B3:M3"/>
    <mergeCell ref="C4:M4"/>
    <mergeCell ref="B34:D34"/>
    <mergeCell ref="E34:F34"/>
    <mergeCell ref="G34:I34"/>
    <mergeCell ref="J34:K34"/>
    <mergeCell ref="L34:M34"/>
  </mergeCells>
  <pageMargins left="0.54" right="0.25" top="0.88" bottom="0.75" header="0.3" footer="0.3"/>
  <pageSetup paperSize="9" scale="9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I14"/>
  <sheetViews>
    <sheetView showGridLines="0" zoomScale="130" zoomScaleNormal="130" workbookViewId="0">
      <selection activeCell="G6" sqref="G6"/>
    </sheetView>
  </sheetViews>
  <sheetFormatPr defaultRowHeight="14.25" x14ac:dyDescent="0.2"/>
  <cols>
    <col min="3" max="3" width="15.125" customWidth="1"/>
    <col min="4" max="4" width="13.25" customWidth="1"/>
    <col min="5" max="5" width="13.625" customWidth="1"/>
    <col min="6" max="6" width="12.875" customWidth="1"/>
    <col min="7" max="7" width="23" customWidth="1"/>
    <col min="8" max="8" width="18" customWidth="1"/>
    <col min="9" max="9" width="12.25" customWidth="1"/>
  </cols>
  <sheetData>
    <row r="2" spans="2:9" ht="85.5" customHeight="1" x14ac:dyDescent="0.2">
      <c r="B2" s="89" t="s">
        <v>35</v>
      </c>
      <c r="C2" s="90"/>
      <c r="D2" s="90"/>
      <c r="E2" s="90"/>
      <c r="F2" s="90"/>
      <c r="G2" s="90"/>
      <c r="H2" s="90"/>
      <c r="I2" s="91"/>
    </row>
    <row r="3" spans="2:9" ht="37.5" customHeight="1" x14ac:dyDescent="0.2">
      <c r="B3" s="60" t="s">
        <v>34</v>
      </c>
      <c r="C3" s="59" t="s">
        <v>33</v>
      </c>
      <c r="D3" s="59" t="s">
        <v>32</v>
      </c>
      <c r="E3" s="94" t="s">
        <v>31</v>
      </c>
      <c r="F3" s="95"/>
      <c r="G3" s="59" t="s">
        <v>30</v>
      </c>
      <c r="H3" s="92" t="s">
        <v>29</v>
      </c>
      <c r="I3" s="93"/>
    </row>
    <row r="4" spans="2:9" ht="33" customHeight="1" x14ac:dyDescent="0.2">
      <c r="B4" s="58" t="s">
        <v>28</v>
      </c>
      <c r="C4" s="57" t="s">
        <v>27</v>
      </c>
      <c r="D4" s="57" t="s">
        <v>26</v>
      </c>
      <c r="E4" s="56" t="s">
        <v>25</v>
      </c>
      <c r="F4" s="54" t="s">
        <v>24</v>
      </c>
      <c r="G4" s="55" t="s">
        <v>23</v>
      </c>
      <c r="H4" s="54" t="s">
        <v>22</v>
      </c>
      <c r="I4" s="53" t="s">
        <v>21</v>
      </c>
    </row>
    <row r="5" spans="2:9" ht="24.75" customHeight="1" x14ac:dyDescent="0.2">
      <c r="B5" s="50">
        <v>25</v>
      </c>
      <c r="C5" s="49">
        <v>25.3</v>
      </c>
      <c r="D5" s="49">
        <v>1.2</v>
      </c>
      <c r="E5" s="49" t="s">
        <v>0</v>
      </c>
      <c r="F5" s="49" t="s">
        <v>18</v>
      </c>
      <c r="G5" s="49" t="s">
        <v>15</v>
      </c>
      <c r="H5" s="48" t="s">
        <v>20</v>
      </c>
      <c r="I5" s="86" t="s">
        <v>19</v>
      </c>
    </row>
    <row r="6" spans="2:9" ht="24.75" customHeight="1" x14ac:dyDescent="0.2">
      <c r="B6" s="47">
        <v>32</v>
      </c>
      <c r="C6" s="52">
        <v>32.299999999999997</v>
      </c>
      <c r="D6" s="46">
        <v>1.3</v>
      </c>
      <c r="E6" s="46" t="s">
        <v>0</v>
      </c>
      <c r="F6" s="46" t="s">
        <v>18</v>
      </c>
      <c r="G6" s="46" t="s">
        <v>15</v>
      </c>
      <c r="H6" s="45" t="s">
        <v>14</v>
      </c>
      <c r="I6" s="87"/>
    </row>
    <row r="7" spans="2:9" ht="24.75" customHeight="1" x14ac:dyDescent="0.2">
      <c r="B7" s="50">
        <v>63</v>
      </c>
      <c r="C7" s="49">
        <v>63.4</v>
      </c>
      <c r="D7" s="49">
        <v>1.5</v>
      </c>
      <c r="E7" s="49" t="s">
        <v>17</v>
      </c>
      <c r="F7" s="49" t="s">
        <v>16</v>
      </c>
      <c r="G7" s="49" t="s">
        <v>15</v>
      </c>
      <c r="H7" s="48" t="s">
        <v>14</v>
      </c>
      <c r="I7" s="87"/>
    </row>
    <row r="8" spans="2:9" ht="24.75" customHeight="1" x14ac:dyDescent="0.2">
      <c r="B8" s="47">
        <v>90</v>
      </c>
      <c r="C8" s="46">
        <v>90.6</v>
      </c>
      <c r="D8" s="46">
        <v>1.8</v>
      </c>
      <c r="E8" s="46" t="s">
        <v>13</v>
      </c>
      <c r="F8" s="46" t="s">
        <v>12</v>
      </c>
      <c r="G8" s="46" t="s">
        <v>11</v>
      </c>
      <c r="H8" s="45" t="s">
        <v>6</v>
      </c>
      <c r="I8" s="87"/>
    </row>
    <row r="9" spans="2:9" ht="24.75" customHeight="1" x14ac:dyDescent="0.2">
      <c r="B9" s="50">
        <v>110</v>
      </c>
      <c r="C9" s="49">
        <v>110.7</v>
      </c>
      <c r="D9" s="49">
        <v>2.2000000000000002</v>
      </c>
      <c r="E9" s="49" t="s">
        <v>10</v>
      </c>
      <c r="F9" s="49" t="s">
        <v>0</v>
      </c>
      <c r="G9" s="51" t="s">
        <v>9</v>
      </c>
      <c r="H9" s="48" t="s">
        <v>6</v>
      </c>
      <c r="I9" s="87"/>
    </row>
    <row r="10" spans="2:9" ht="24.75" customHeight="1" x14ac:dyDescent="0.2">
      <c r="B10" s="47">
        <v>125</v>
      </c>
      <c r="C10" s="46">
        <v>125.8</v>
      </c>
      <c r="D10" s="46">
        <v>2.5</v>
      </c>
      <c r="E10" s="46" t="s">
        <v>8</v>
      </c>
      <c r="F10" s="46" t="s">
        <v>0</v>
      </c>
      <c r="G10" s="46" t="s">
        <v>3</v>
      </c>
      <c r="H10" s="45" t="s">
        <v>6</v>
      </c>
      <c r="I10" s="87"/>
    </row>
    <row r="11" spans="2:9" ht="24.75" customHeight="1" x14ac:dyDescent="0.2">
      <c r="B11" s="50">
        <v>160</v>
      </c>
      <c r="C11" s="49">
        <v>161</v>
      </c>
      <c r="D11" s="49">
        <v>3.2</v>
      </c>
      <c r="E11" s="49" t="s">
        <v>7</v>
      </c>
      <c r="F11" s="49" t="s">
        <v>0</v>
      </c>
      <c r="G11" s="49" t="s">
        <v>3</v>
      </c>
      <c r="H11" s="48" t="s">
        <v>6</v>
      </c>
      <c r="I11" s="87"/>
    </row>
    <row r="12" spans="2:9" ht="24.75" customHeight="1" x14ac:dyDescent="0.2">
      <c r="B12" s="47">
        <v>200</v>
      </c>
      <c r="C12" s="46">
        <v>201.2</v>
      </c>
      <c r="D12" s="46">
        <v>4</v>
      </c>
      <c r="E12" s="46" t="s">
        <v>5</v>
      </c>
      <c r="F12" s="46" t="s">
        <v>0</v>
      </c>
      <c r="G12" s="46" t="s">
        <v>3</v>
      </c>
      <c r="H12" s="45" t="s">
        <v>2</v>
      </c>
      <c r="I12" s="87"/>
    </row>
    <row r="13" spans="2:9" ht="24.75" customHeight="1" x14ac:dyDescent="0.2">
      <c r="B13" s="44">
        <v>225</v>
      </c>
      <c r="C13" s="43">
        <v>226.4</v>
      </c>
      <c r="D13" s="43">
        <v>4.5</v>
      </c>
      <c r="E13" s="43" t="s">
        <v>4</v>
      </c>
      <c r="F13" s="43" t="s">
        <v>0</v>
      </c>
      <c r="G13" s="43" t="s">
        <v>3</v>
      </c>
      <c r="H13" s="42" t="s">
        <v>2</v>
      </c>
      <c r="I13" s="88"/>
    </row>
    <row r="14" spans="2:9" x14ac:dyDescent="0.2">
      <c r="B14" s="41"/>
      <c r="C14" s="41"/>
      <c r="D14" s="41"/>
      <c r="E14" s="41"/>
      <c r="F14" s="41"/>
      <c r="G14" s="41"/>
      <c r="H14" s="41"/>
    </row>
  </sheetData>
  <mergeCells count="4">
    <mergeCell ref="I5:I13"/>
    <mergeCell ref="B2:I2"/>
    <mergeCell ref="H3:I3"/>
    <mergeCell ref="E3:F3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zoomScale="130" zoomScaleNormal="130" workbookViewId="0">
      <selection activeCell="D21" sqref="D21"/>
    </sheetView>
  </sheetViews>
  <sheetFormatPr defaultRowHeight="14.25" x14ac:dyDescent="0.2"/>
  <cols>
    <col min="3" max="14" width="6.75" customWidth="1"/>
  </cols>
  <sheetData>
    <row r="1" spans="2:14" ht="15.75" customHeight="1" thickBot="1" x14ac:dyDescent="0.25"/>
    <row r="2" spans="2:14" ht="51" customHeight="1" x14ac:dyDescent="0.2">
      <c r="B2" s="96" t="s">
        <v>36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</row>
    <row r="3" spans="2:14" ht="22.5" customHeight="1" x14ac:dyDescent="0.2">
      <c r="B3" s="62"/>
      <c r="C3" s="99" t="s">
        <v>37</v>
      </c>
      <c r="D3" s="99"/>
      <c r="E3" s="99" t="s">
        <v>24</v>
      </c>
      <c r="F3" s="99"/>
      <c r="G3" s="99" t="s">
        <v>38</v>
      </c>
      <c r="H3" s="99"/>
      <c r="I3" s="99" t="s">
        <v>39</v>
      </c>
      <c r="J3" s="99"/>
      <c r="K3" s="99" t="s">
        <v>40</v>
      </c>
      <c r="L3" s="100"/>
      <c r="M3" s="99" t="s">
        <v>41</v>
      </c>
      <c r="N3" s="100"/>
    </row>
    <row r="4" spans="2:14" ht="24" customHeight="1" x14ac:dyDescent="0.2">
      <c r="B4" s="101" t="s">
        <v>42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3"/>
    </row>
    <row r="5" spans="2:14" ht="19.5" customHeight="1" x14ac:dyDescent="0.2">
      <c r="B5" s="63" t="s">
        <v>43</v>
      </c>
      <c r="C5" s="104" t="s">
        <v>44</v>
      </c>
      <c r="D5" s="104"/>
      <c r="E5" s="104" t="s">
        <v>0</v>
      </c>
      <c r="F5" s="104"/>
      <c r="G5" s="104" t="s">
        <v>45</v>
      </c>
      <c r="H5" s="104"/>
      <c r="I5" s="104" t="s">
        <v>0</v>
      </c>
      <c r="J5" s="104"/>
      <c r="K5" s="104" t="s">
        <v>46</v>
      </c>
      <c r="L5" s="105"/>
      <c r="M5" s="104" t="s">
        <v>0</v>
      </c>
      <c r="N5" s="105"/>
    </row>
    <row r="6" spans="2:14" ht="19.5" customHeight="1" x14ac:dyDescent="0.2">
      <c r="B6" s="64" t="s">
        <v>47</v>
      </c>
      <c r="C6" s="112" t="s">
        <v>48</v>
      </c>
      <c r="D6" s="112"/>
      <c r="E6" s="112" t="s">
        <v>44</v>
      </c>
      <c r="F6" s="112"/>
      <c r="G6" s="112" t="s">
        <v>0</v>
      </c>
      <c r="H6" s="112"/>
      <c r="I6" s="112" t="s">
        <v>45</v>
      </c>
      <c r="J6" s="112"/>
      <c r="K6" s="112" t="s">
        <v>0</v>
      </c>
      <c r="L6" s="113"/>
      <c r="M6" s="112" t="s">
        <v>46</v>
      </c>
      <c r="N6" s="113"/>
    </row>
    <row r="7" spans="2:14" ht="24.75" customHeight="1" x14ac:dyDescent="0.2">
      <c r="B7" s="106" t="s">
        <v>49</v>
      </c>
      <c r="C7" s="107" t="s">
        <v>50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8"/>
    </row>
    <row r="8" spans="2:14" ht="21" customHeight="1" x14ac:dyDescent="0.2">
      <c r="B8" s="106"/>
      <c r="C8" s="65" t="s">
        <v>51</v>
      </c>
      <c r="D8" s="65" t="s">
        <v>52</v>
      </c>
      <c r="E8" s="65" t="s">
        <v>51</v>
      </c>
      <c r="F8" s="65" t="s">
        <v>52</v>
      </c>
      <c r="G8" s="65" t="s">
        <v>51</v>
      </c>
      <c r="H8" s="65" t="s">
        <v>52</v>
      </c>
      <c r="I8" s="65" t="s">
        <v>51</v>
      </c>
      <c r="J8" s="65" t="s">
        <v>52</v>
      </c>
      <c r="K8" s="65" t="s">
        <v>51</v>
      </c>
      <c r="L8" s="66" t="s">
        <v>52</v>
      </c>
      <c r="M8" s="65" t="s">
        <v>51</v>
      </c>
      <c r="N8" s="66" t="s">
        <v>52</v>
      </c>
    </row>
    <row r="9" spans="2:14" x14ac:dyDescent="0.2">
      <c r="B9" s="67">
        <v>12</v>
      </c>
      <c r="C9" s="68" t="s">
        <v>53</v>
      </c>
      <c r="D9" s="68" t="s">
        <v>54</v>
      </c>
      <c r="E9" s="68" t="s">
        <v>55</v>
      </c>
      <c r="F9" s="68" t="s">
        <v>53</v>
      </c>
      <c r="G9" s="68" t="s">
        <v>56</v>
      </c>
      <c r="H9" s="68" t="s">
        <v>56</v>
      </c>
      <c r="I9" s="68" t="s">
        <v>56</v>
      </c>
      <c r="J9" s="68" t="s">
        <v>56</v>
      </c>
      <c r="K9" s="68" t="s">
        <v>56</v>
      </c>
      <c r="L9" s="69" t="s">
        <v>56</v>
      </c>
      <c r="M9" s="68" t="s">
        <v>56</v>
      </c>
      <c r="N9" s="69" t="s">
        <v>56</v>
      </c>
    </row>
    <row r="10" spans="2:14" x14ac:dyDescent="0.2">
      <c r="B10" s="70">
        <v>16</v>
      </c>
      <c r="C10" s="71" t="s">
        <v>57</v>
      </c>
      <c r="D10" s="71" t="s">
        <v>58</v>
      </c>
      <c r="E10" s="71" t="s">
        <v>59</v>
      </c>
      <c r="F10" s="71" t="s">
        <v>57</v>
      </c>
      <c r="G10" s="71" t="s">
        <v>60</v>
      </c>
      <c r="H10" s="71" t="s">
        <v>59</v>
      </c>
      <c r="I10" s="71" t="s">
        <v>61</v>
      </c>
      <c r="J10" s="71" t="s">
        <v>62</v>
      </c>
      <c r="K10" s="71" t="s">
        <v>56</v>
      </c>
      <c r="L10" s="72" t="s">
        <v>56</v>
      </c>
      <c r="M10" s="71" t="s">
        <v>56</v>
      </c>
      <c r="N10" s="72" t="s">
        <v>56</v>
      </c>
    </row>
    <row r="11" spans="2:14" x14ac:dyDescent="0.2">
      <c r="B11" s="67">
        <v>20</v>
      </c>
      <c r="C11" s="68" t="s">
        <v>63</v>
      </c>
      <c r="D11" s="68" t="s">
        <v>64</v>
      </c>
      <c r="E11" s="68" t="s">
        <v>65</v>
      </c>
      <c r="F11" s="68" t="s">
        <v>63</v>
      </c>
      <c r="G11" s="68" t="s">
        <v>59</v>
      </c>
      <c r="H11" s="68" t="s">
        <v>57</v>
      </c>
      <c r="I11" s="68" t="s">
        <v>60</v>
      </c>
      <c r="J11" s="68" t="s">
        <v>59</v>
      </c>
      <c r="K11" s="68" t="s">
        <v>61</v>
      </c>
      <c r="L11" s="69" t="s">
        <v>62</v>
      </c>
      <c r="M11" s="68" t="s">
        <v>0</v>
      </c>
      <c r="N11" s="69" t="s">
        <v>0</v>
      </c>
    </row>
    <row r="12" spans="2:14" x14ac:dyDescent="0.2">
      <c r="B12" s="67">
        <v>25</v>
      </c>
      <c r="C12" s="68">
        <v>2.8</v>
      </c>
      <c r="D12" s="68">
        <v>3.2</v>
      </c>
      <c r="E12" s="68">
        <v>2.2999999999999998</v>
      </c>
      <c r="F12" s="68">
        <v>2.7</v>
      </c>
      <c r="G12" s="68">
        <v>1.9</v>
      </c>
      <c r="H12" s="68">
        <v>2.2999999999999998</v>
      </c>
      <c r="I12" s="68">
        <v>1.5</v>
      </c>
      <c r="J12" s="68">
        <v>1.8</v>
      </c>
      <c r="K12" s="68">
        <v>1.2</v>
      </c>
      <c r="L12" s="69">
        <v>1.5</v>
      </c>
      <c r="M12" s="68">
        <v>1</v>
      </c>
      <c r="N12" s="69">
        <v>1.3</v>
      </c>
    </row>
    <row r="13" spans="2:14" x14ac:dyDescent="0.2">
      <c r="B13" s="67">
        <v>32</v>
      </c>
      <c r="C13" s="68">
        <v>3.6</v>
      </c>
      <c r="D13" s="68">
        <v>4.0999999999999996</v>
      </c>
      <c r="E13" s="68">
        <v>2.9</v>
      </c>
      <c r="F13" s="68">
        <v>3.3</v>
      </c>
      <c r="G13" s="68">
        <v>2.4</v>
      </c>
      <c r="H13" s="68">
        <v>2.8</v>
      </c>
      <c r="I13" s="68">
        <v>1.9</v>
      </c>
      <c r="J13" s="68">
        <v>2.2000000000000002</v>
      </c>
      <c r="K13" s="68">
        <v>1.6</v>
      </c>
      <c r="L13" s="69">
        <v>1.9</v>
      </c>
      <c r="M13" s="68">
        <v>1.3</v>
      </c>
      <c r="N13" s="69">
        <v>1.6</v>
      </c>
    </row>
    <row r="14" spans="2:14" ht="16.5" customHeight="1" thickBot="1" x14ac:dyDescent="0.25">
      <c r="B14" s="109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</row>
  </sheetData>
  <mergeCells count="23">
    <mergeCell ref="B7:B8"/>
    <mergeCell ref="C7:N7"/>
    <mergeCell ref="B14:N14"/>
    <mergeCell ref="C6:D6"/>
    <mergeCell ref="E6:F6"/>
    <mergeCell ref="G6:H6"/>
    <mergeCell ref="I6:J6"/>
    <mergeCell ref="K6:L6"/>
    <mergeCell ref="M6:N6"/>
    <mergeCell ref="B4:N4"/>
    <mergeCell ref="C5:D5"/>
    <mergeCell ref="E5:F5"/>
    <mergeCell ref="G5:H5"/>
    <mergeCell ref="I5:J5"/>
    <mergeCell ref="K5:L5"/>
    <mergeCell ref="M5:N5"/>
    <mergeCell ref="B2:N2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HD</vt:lpstr>
      <vt:lpstr>گاز igs</vt:lpstr>
      <vt:lpstr>LD</vt:lpstr>
      <vt:lpstr>HD!Print_Area</vt:lpstr>
      <vt:lpstr>'گاز igs'!Print_Area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boukan lab</dc:creator>
  <cp:lastModifiedBy>BIG C</cp:lastModifiedBy>
  <dcterms:created xsi:type="dcterms:W3CDTF">2026-09-24T10:49:12Z</dcterms:created>
  <dcterms:modified xsi:type="dcterms:W3CDTF">2026-09-24T10:56:13Z</dcterms:modified>
</cp:coreProperties>
</file>